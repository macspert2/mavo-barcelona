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-output" sheetId="1" state="visible" r:id="rId3"/>
    <sheet name="calc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<sst xmlns="http://schemas.openxmlformats.org/spreadsheetml/2006/main" count="176" uniqueCount="69">
  <si>
    <t xml:space="preserve">tooltip on hover over column D</t>
  </si>
  <si>
    <t xml:space="preserve">Drop-down choice lists</t>
  </si>
  <si>
    <t xml:space="preserve">Estimez le coût de vos visites à Barcelone</t>
  </si>
  <si>
    <t xml:space="preserve">age</t>
  </si>
  <si>
    <t xml:space="preserve">Sagrada Familia</t>
  </si>
  <si>
    <t xml:space="preserve">Casa Batllo</t>
  </si>
  <si>
    <t xml:space="preserve">La Pedrera / Casa Mila</t>
  </si>
  <si>
    <t xml:space="preserve">Palau Güell</t>
  </si>
  <si>
    <t xml:space="preserve">Casa Vicens</t>
  </si>
  <si>
    <t xml:space="preserve">Casa Amatler</t>
  </si>
  <si>
    <t xml:space="preserve">Palau de la musica</t>
  </si>
  <si>
    <t xml:space="preserve">Hospital Sant Pau</t>
  </si>
  <si>
    <t xml:space="preserve">Musée Picasso</t>
  </si>
  <si>
    <t xml:space="preserve">Musée Miro</t>
  </si>
  <si>
    <t xml:space="preserve">MNAC</t>
  </si>
  <si>
    <t xml:space="preserve">Parc Güell</t>
  </si>
  <si>
    <t xml:space="preserve">30-99</t>
  </si>
  <si>
    <t xml:space="preserve">visite simple</t>
  </si>
  <si>
    <t xml:space="preserve">visite avec horaire spécifique</t>
  </si>
  <si>
    <t xml:space="preserve">visite avec audio</t>
  </si>
  <si>
    <t xml:space="preserve">Entrez l’age des membres de votre famille et choisissez les visites que vous souhaîtez faire pour voir une estimation du coût personalisé pour vous.</t>
  </si>
  <si>
    <t xml:space="preserve">avec guide</t>
  </si>
  <si>
    <t xml:space="preserve">–</t>
  </si>
  <si>
    <t xml:space="preserve">sans contrainte horaire</t>
  </si>
  <si>
    <t xml:space="preserve">avec audio (uniquement sur son propre téléphone)</t>
  </si>
  <si>
    <t xml:space="preserve">avec audio</t>
  </si>
  <si>
    <t xml:space="preserve">Vous pouvez utiliser cet outil aussi pour vérifier plus facilement que la plupart des cartes d’entrées combinées à Barcelone ne valent pas le coût.</t>
  </si>
  <si>
    <t xml:space="preserve">avec visite de la tour</t>
  </si>
  <si>
    <t xml:space="preserve">avec guide et visite de la tour</t>
  </si>
  <si>
    <t xml:space="preserve">Ages des membres de la famille</t>
  </si>
  <si>
    <t xml:space="preserve">Age</t>
  </si>
  <si>
    <t xml:space="preserve">Les grilles tarifaires des différentes visites utilisent  l’âge selon des critères variés. Mettez l’âge exact au moment de la visite pour un calcul du prix correct.</t>
  </si>
  <si>
    <t xml:space="preserve">-</t>
  </si>
  <si>
    <t xml:space="preserve">Prix pour un achat en avance en ligne, les prix sur place sont souvent plus haut, voir sur les sites.</t>
  </si>
  <si>
    <t xml:space="preserve">Ils existent souvent des réductions: Séniors, handicapés etc. - voir sur les sites.</t>
  </si>
  <si>
    <t xml:space="preserve">Dernière mise à jour des prix ici en avril 2026 – ils ont potentiellement changés depuis.</t>
  </si>
  <si>
    <t xml:space="preserve">*</t>
  </si>
  <si>
    <t xml:space="preserve">**</t>
  </si>
  <si>
    <t xml:space="preserve">0-6</t>
  </si>
  <si>
    <t xml:space="preserve">Total</t>
  </si>
  <si>
    <t xml:space="preserve">* Possible d’éntrée gratuite certains jours – voir l’article pour les détails</t>
  </si>
  <si>
    <t xml:space="preserve">** Possibilité d’acheter un billet combiné moins cher (uniquement en ligne et uniquement sans guide, voir sur le site pour plus de détails)</t>
  </si>
  <si>
    <t xml:space="preserve">familleParents</t>
  </si>
  <si>
    <t xml:space="preserve">familleEnfants</t>
  </si>
  <si>
    <t xml:space="preserve">famille</t>
  </si>
  <si>
    <t xml:space="preserve">Prix pour achat en avance en ligne, prix sur place typiquement plus haut, voir sur le site</t>
  </si>
  <si>
    <t xml:space="preserve">Il existent souvent d’autres réductions: Séniors, handicapés etc. voir sur le site</t>
  </si>
  <si>
    <t xml:space="preserve">26€ / -30 ans : 24€ / - de 11 ans : gratuit</t>
  </si>
  <si>
    <t xml:space="preserve">30€ / -30 ans : 28€ / - de 11 ans : gratuit</t>
  </si>
  <si>
    <t xml:space="preserve">36€ / -30 ans : 34€ / - de 11 ans : gratuit</t>
  </si>
  <si>
    <t xml:space="preserve">29€ / 13-17 ans : 23€ / - de 13 ans : gratuit</t>
  </si>
  <si>
    <t xml:space="preserve">25€/ 12-17 ans 12.50€ / - de 12 ans : gratuit</t>
  </si>
  <si>
    <t xml:space="preserve">15€/ 13-17 ans : 5€ / - de 13 ans : gratuit </t>
  </si>
  <si>
    <t xml:space="preserve">24€/ -30 ans : 22€ / - de 12 ans : gratuit</t>
  </si>
  <si>
    <t xml:space="preserve">27€/ -30 ans : 25€ / - de 12 ans : gratuit</t>
  </si>
  <si>
    <t xml:space="preserve">21€/ 8-24 ans : 14€ / - de 8 ans : gratuit</t>
  </si>
  <si>
    <t xml:space="preserve">23€/ 8-24 ans : 16€ / - de 8 ans : gratuit</t>
  </si>
  <si>
    <t xml:space="preserve">20€ / Billet famille 60€ (2+2) / -10 ans : gratuit</t>
  </si>
  <si>
    <t xml:space="preserve">24€ / -10 ans : gratuit</t>
  </si>
  <si>
    <t xml:space="preserve">24€ / Billet famille 72€ (2+2) / -10 ans : gratuit</t>
  </si>
  <si>
    <t xml:space="preserve">18€ / 12-24 ans : 12.60€ / -12 ans gratuit</t>
  </si>
  <si>
    <t xml:space="preserve">21€ / 12-24 ans : 14.70€ / -12 ans 5€</t>
  </si>
  <si>
    <t xml:space="preserve">12€ / - de 18 ans gratuit</t>
  </si>
  <si>
    <t xml:space="preserve">17€ / - de 18 ans 5€</t>
  </si>
  <si>
    <t xml:space="preserve">17€ / 13-25 ans : 11€ / 0-12 ans : gratuit</t>
  </si>
  <si>
    <t xml:space="preserve">24€ / 13-25 ans : 18€ / 0-12 ans : 7€</t>
  </si>
  <si>
    <t xml:space="preserve">12€ /-16 ans : gratuit</t>
  </si>
  <si>
    <t xml:space="preserve">18€ / 7-12 ans ; 13.50€ / - 7 ans : gratuit</t>
  </si>
  <si>
    <t xml:space="preserve">35€ / 7-12 ans ; 30.50€ / - 7 ans : gratuit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</si>
</sst>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\ [$€-C0A];[RED]\-#,##0.00\ [$€-C0A]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name val="Arial"/>
      <family val="2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agradafamilia.org/en/tickets-individuals" TargetMode="External"/><Relationship Id="rId2" Type="http://schemas.openxmlformats.org/officeDocument/2006/relationships/hyperlink" Target="https://www.casabatllo.es/fr/billets-ligne/" TargetMode="External"/><Relationship Id="rId3" Type="http://schemas.openxmlformats.org/officeDocument/2006/relationships/hyperlink" Target="https://www.lapedrera.com/fr/billets/" TargetMode="External"/><Relationship Id="rId4" Type="http://schemas.openxmlformats.org/officeDocument/2006/relationships/hyperlink" Target="https://entrades.palauguell.cat/muslinkIV/index.jsp?nom_cache=PALAU&amp;property=PALAU&amp;lang=3" TargetMode="External"/><Relationship Id="rId5" Type="http://schemas.openxmlformats.org/officeDocument/2006/relationships/hyperlink" Target="https://casavicens.org/fr" TargetMode="External"/><Relationship Id="rId6" Type="http://schemas.openxmlformats.org/officeDocument/2006/relationships/hyperlink" Target="https://www.amatller.org/en/the-house-museum/" TargetMode="External"/><Relationship Id="rId7" Type="http://schemas.openxmlformats.org/officeDocument/2006/relationships/hyperlink" Target="https://www.palaumusica.cat/en/visites/visits-and-tickets_1159168" TargetMode="External"/><Relationship Id="rId8" Type="http://schemas.openxmlformats.org/officeDocument/2006/relationships/hyperlink" Target="https://santpaubarcelona.org/fr/visites/" TargetMode="External"/><Relationship Id="rId9" Type="http://schemas.openxmlformats.org/officeDocument/2006/relationships/hyperlink" Target="https://museupicassobcn.cat/en/plan-your-visit" TargetMode="External"/><Relationship Id="rId10" Type="http://schemas.openxmlformats.org/officeDocument/2006/relationships/hyperlink" Target="https://www.fmirobcn.org/en/visit-us/tickets/" TargetMode="External"/><Relationship Id="rId11" Type="http://schemas.openxmlformats.org/officeDocument/2006/relationships/hyperlink" Target="https://tickets.museunacional.cat/muslinkIV/index.jsp?nom_cache=MUSEU&amp;property=MUSEU&amp;codiActiv=256&amp;lang=3" TargetMode="External"/><Relationship Id="rId12" Type="http://schemas.openxmlformats.org/officeDocument/2006/relationships/hyperlink" Target="https://parkguell.barcelona/fr/acheter-billets" TargetMode="External"/><Relationship Id="rId13" Type="http://schemas.openxmlformats.org/officeDocument/2006/relationships/hyperlink" Target="https://www.palaumusica.cat/fr/visites/palau-et-sant-pau_117431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U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.55"/>
    <col collapsed="false" customWidth="true" hidden="false" outlineLevel="0" max="2" min="2" style="0" width="19.14"/>
    <col collapsed="false" customWidth="true" hidden="false" outlineLevel="0" max="3" min="3" style="0" width="24.5"/>
    <col collapsed="false" customWidth="true" hidden="false" outlineLevel="0" max="5" min="4" style="0" width="10.1"/>
    <col collapsed="false" customWidth="true" hidden="false" outlineLevel="0" max="7" min="7" style="0" width="60.47"/>
  </cols>
  <sheetData>
    <row r="1" customFormat="false" ht="12.8" hidden="false" customHeight="false" outlineLevel="0" collapsed="false">
      <c r="G1" s="0" t="s">
        <v>0</v>
      </c>
      <c r="I1" s="0" t="s">
        <v>1</v>
      </c>
    </row>
    <row r="2" customFormat="false" ht="19.7" hidden="false" customHeight="false" outlineLevel="0" collapsed="false">
      <c r="B2" s="1" t="s">
        <v>2</v>
      </c>
      <c r="C2" s="1"/>
      <c r="D2" s="1"/>
      <c r="E2" s="1"/>
      <c r="I2" s="0" t="s">
        <v>3</v>
      </c>
      <c r="J2" s="0" t="s">
        <v>4</v>
      </c>
      <c r="K2" s="0" t="s">
        <v>5</v>
      </c>
      <c r="L2" s="0" t="s">
        <v>6</v>
      </c>
      <c r="M2" s="0" t="s">
        <v>7</v>
      </c>
      <c r="N2" s="0" t="s">
        <v>8</v>
      </c>
      <c r="O2" s="0" t="s">
        <v>9</v>
      </c>
      <c r="P2" s="0" t="s">
        <v>10</v>
      </c>
      <c r="Q2" s="0" t="s">
        <v>11</v>
      </c>
      <c r="R2" s="0" t="s">
        <v>12</v>
      </c>
      <c r="S2" s="0" t="s">
        <v>13</v>
      </c>
      <c r="T2" s="0" t="s">
        <v>14</v>
      </c>
      <c r="U2" s="0" t="s">
        <v>15</v>
      </c>
    </row>
    <row r="3" customFormat="false" ht="12.8" hidden="false" customHeight="false" outlineLevel="0" collapsed="false">
      <c r="B3" s="2"/>
      <c r="E3" s="3"/>
      <c r="I3" s="0" t="s">
        <v>16</v>
      </c>
      <c r="J3" s="0" t="s">
        <v>17</v>
      </c>
      <c r="K3" s="0" t="s">
        <v>17</v>
      </c>
      <c r="L3" s="0" t="s">
        <v>17</v>
      </c>
      <c r="M3" s="0" t="s">
        <v>17</v>
      </c>
      <c r="N3" s="0" t="s">
        <v>18</v>
      </c>
      <c r="O3" s="0" t="s">
        <v>19</v>
      </c>
      <c r="P3" s="0" t="s">
        <v>17</v>
      </c>
      <c r="Q3" s="0" t="s">
        <v>17</v>
      </c>
      <c r="R3" s="0" t="s">
        <v>17</v>
      </c>
      <c r="S3" s="0" t="s">
        <v>17</v>
      </c>
      <c r="T3" s="0" t="s">
        <v>17</v>
      </c>
      <c r="U3" s="0" t="s">
        <v>17</v>
      </c>
    </row>
    <row r="4" customFormat="false" ht="23.65" hidden="false" customHeight="true" outlineLevel="0" collapsed="false">
      <c r="B4" s="4" t="s">
        <v>20</v>
      </c>
      <c r="C4" s="4"/>
      <c r="D4" s="4"/>
      <c r="E4" s="4"/>
      <c r="I4" s="0" t="n">
        <v>29</v>
      </c>
      <c r="J4" s="0" t="s">
        <v>21</v>
      </c>
      <c r="K4" s="0" t="s">
        <v>22</v>
      </c>
      <c r="L4" s="0" t="s">
        <v>22</v>
      </c>
      <c r="M4" s="0" t="s">
        <v>22</v>
      </c>
      <c r="N4" s="0" t="s">
        <v>23</v>
      </c>
      <c r="O4" s="0" t="s">
        <v>21</v>
      </c>
      <c r="P4" s="0" t="s">
        <v>24</v>
      </c>
      <c r="Q4" s="0" t="s">
        <v>21</v>
      </c>
      <c r="R4" s="0" t="s">
        <v>25</v>
      </c>
      <c r="S4" s="0" t="s">
        <v>21</v>
      </c>
      <c r="T4" s="0" t="s">
        <v>22</v>
      </c>
      <c r="U4" s="0" t="s">
        <v>21</v>
      </c>
    </row>
    <row r="5" customFormat="false" ht="23.65" hidden="false" customHeight="true" outlineLevel="0" collapsed="false">
      <c r="B5" s="4" t="s">
        <v>26</v>
      </c>
      <c r="C5" s="4"/>
      <c r="D5" s="4"/>
      <c r="E5" s="4"/>
      <c r="I5" s="0" t="n">
        <v>28</v>
      </c>
      <c r="J5" s="0" t="s">
        <v>27</v>
      </c>
      <c r="N5" s="0" t="s">
        <v>22</v>
      </c>
      <c r="O5" s="0" t="s">
        <v>22</v>
      </c>
      <c r="P5" s="0" t="s">
        <v>21</v>
      </c>
      <c r="Q5" s="0" t="s">
        <v>22</v>
      </c>
      <c r="R5" s="0" t="s">
        <v>22</v>
      </c>
      <c r="S5" s="0" t="s">
        <v>22</v>
      </c>
      <c r="U5" s="0" t="s">
        <v>22</v>
      </c>
    </row>
    <row r="6" customFormat="false" ht="12.8" hidden="false" customHeight="false" outlineLevel="0" collapsed="false">
      <c r="B6" s="2"/>
      <c r="E6" s="3"/>
      <c r="I6" s="0" t="n">
        <v>27</v>
      </c>
      <c r="J6" s="0" t="s">
        <v>28</v>
      </c>
      <c r="P6" s="0" t="s">
        <v>22</v>
      </c>
    </row>
    <row r="7" customFormat="false" ht="12.8" hidden="false" customHeight="false" outlineLevel="0" collapsed="false">
      <c r="B7" s="5" t="s">
        <v>29</v>
      </c>
      <c r="C7" s="5"/>
      <c r="D7" s="6"/>
      <c r="E7" s="7" t="s">
        <v>30</v>
      </c>
      <c r="I7" s="0" t="n">
        <v>26</v>
      </c>
      <c r="J7" s="0" t="s">
        <v>22</v>
      </c>
    </row>
    <row r="8" customFormat="false" ht="12.8" hidden="false" customHeight="true" outlineLevel="0" collapsed="false">
      <c r="B8" s="8" t="s">
        <v>31</v>
      </c>
      <c r="C8" s="8"/>
      <c r="D8" s="9" t="n">
        <v>1</v>
      </c>
      <c r="E8" s="10" t="s">
        <v>16</v>
      </c>
      <c r="I8" s="0" t="n">
        <v>25</v>
      </c>
    </row>
    <row r="9" customFormat="false" ht="12.8" hidden="false" customHeight="false" outlineLevel="0" collapsed="false">
      <c r="B9" s="8"/>
      <c r="C9" s="8"/>
      <c r="D9" s="9" t="n">
        <v>2</v>
      </c>
      <c r="E9" s="10" t="s">
        <v>16</v>
      </c>
      <c r="I9" s="0" t="n">
        <v>24</v>
      </c>
    </row>
    <row r="10" customFormat="false" ht="12.8" hidden="false" customHeight="false" outlineLevel="0" collapsed="false">
      <c r="B10" s="8"/>
      <c r="C10" s="8"/>
      <c r="D10" s="9" t="n">
        <v>3</v>
      </c>
      <c r="E10" s="10" t="n">
        <v>22</v>
      </c>
      <c r="I10" s="0" t="n">
        <v>23</v>
      </c>
    </row>
    <row r="11" customFormat="false" ht="12.8" hidden="false" customHeight="false" outlineLevel="0" collapsed="false">
      <c r="B11" s="8"/>
      <c r="C11" s="8"/>
      <c r="D11" s="9" t="n">
        <v>4</v>
      </c>
      <c r="E11" s="10" t="n">
        <v>16</v>
      </c>
      <c r="I11" s="0" t="n">
        <v>22</v>
      </c>
    </row>
    <row r="12" customFormat="false" ht="12.8" hidden="false" customHeight="false" outlineLevel="0" collapsed="false">
      <c r="B12" s="8"/>
      <c r="C12" s="8"/>
      <c r="D12" s="9" t="n">
        <v>5</v>
      </c>
      <c r="E12" s="10" t="n">
        <v>12</v>
      </c>
      <c r="I12" s="0" t="n">
        <v>21</v>
      </c>
    </row>
    <row r="13" customFormat="false" ht="12.8" hidden="false" customHeight="false" outlineLevel="0" collapsed="false">
      <c r="B13" s="8"/>
      <c r="C13" s="8"/>
      <c r="D13" s="9" t="n">
        <v>6</v>
      </c>
      <c r="E13" s="10" t="s">
        <v>32</v>
      </c>
      <c r="I13" s="0" t="n">
        <v>20</v>
      </c>
    </row>
    <row r="14" customFormat="false" ht="12.8" hidden="false" customHeight="false" outlineLevel="0" collapsed="false">
      <c r="B14" s="11"/>
      <c r="C14" s="12"/>
      <c r="D14" s="12"/>
      <c r="E14" s="7"/>
      <c r="I14" s="0" t="n">
        <v>19</v>
      </c>
    </row>
    <row r="15" customFormat="false" ht="23.65" hidden="false" customHeight="true" outlineLevel="0" collapsed="false">
      <c r="B15" s="13" t="s">
        <v>33</v>
      </c>
      <c r="C15" s="13"/>
      <c r="D15" s="13"/>
      <c r="E15" s="13"/>
      <c r="I15" s="0" t="n">
        <v>18</v>
      </c>
    </row>
    <row r="16" customFormat="false" ht="23.65" hidden="false" customHeight="true" outlineLevel="0" collapsed="false">
      <c r="B16" s="13" t="s">
        <v>34</v>
      </c>
      <c r="C16" s="13"/>
      <c r="D16" s="13"/>
      <c r="E16" s="13"/>
      <c r="I16" s="0" t="n">
        <v>17</v>
      </c>
    </row>
    <row r="17" customFormat="false" ht="23.65" hidden="false" customHeight="true" outlineLevel="0" collapsed="false">
      <c r="B17" s="13" t="s">
        <v>35</v>
      </c>
      <c r="C17" s="13"/>
      <c r="D17" s="13"/>
      <c r="E17" s="13"/>
      <c r="F17" s="14"/>
      <c r="I17" s="0" t="n">
        <v>16</v>
      </c>
    </row>
    <row r="18" customFormat="false" ht="12.8" hidden="false" customHeight="false" outlineLevel="0" collapsed="false">
      <c r="B18" s="11"/>
      <c r="C18" s="12"/>
      <c r="D18" s="12"/>
      <c r="E18" s="7"/>
      <c r="F18" s="14"/>
      <c r="I18" s="0" t="n">
        <v>15</v>
      </c>
    </row>
    <row r="19" customFormat="false" ht="46.05" hidden="false" customHeight="false" outlineLevel="0" collapsed="false">
      <c r="B19" s="5" t="s">
        <v>17</v>
      </c>
      <c r="C19" s="15" t="s">
        <v>4</v>
      </c>
      <c r="D19" s="12"/>
      <c r="E19" s="16" t="n">
        <f aca="false">SUMIF(calc!A$12:A$34,B19&amp;C19,calc!E$12:E$34)</f>
        <v>124</v>
      </c>
      <c r="F19" s="14"/>
      <c r="G19" s="17" t="str">
        <f aca="false">calc!C12&amp;" : "&amp;calc!D12&amp;"
"&amp;calc!C13&amp;" : "&amp;calc!D13&amp;"
"&amp;calc!C14&amp;" : "&amp;calc!D14&amp;"
"&amp;calc!C15&amp;" : "&amp;calc!D15</f>
        <v>visite simple : 26€ / -30 ans : 24€ / - de 11 ans : gratuit
avec guide : 30€ / -30 ans : 28€ / - de 11 ans : gratuit
avec visite de la tour : 36€ / -30 ans : 34€ / - de 11 ans : gratuit
avec guide et visite de la tour : 36€ / -30 ans : 34€ / - de 11 ans : gratuit</v>
      </c>
      <c r="I19" s="0" t="n">
        <v>14</v>
      </c>
    </row>
    <row r="20" customFormat="false" ht="12.8" hidden="false" customHeight="false" outlineLevel="0" collapsed="false">
      <c r="B20" s="5" t="s">
        <v>17</v>
      </c>
      <c r="C20" s="15" t="s">
        <v>5</v>
      </c>
      <c r="D20" s="12"/>
      <c r="E20" s="16" t="n">
        <f aca="false">SUMIF(calc!A$12:A$34,B20&amp;C20,calc!E$12:E$34)</f>
        <v>110</v>
      </c>
      <c r="F20" s="14"/>
      <c r="G20" s="0" t="str">
        <f aca="false">calc!C16&amp;" : "&amp;calc!D16</f>
        <v>visite simple : 29€ / 13-17 ans : 23€ / - de 13 ans : gratuit</v>
      </c>
      <c r="I20" s="0" t="n">
        <v>13</v>
      </c>
    </row>
    <row r="21" customFormat="false" ht="12.8" hidden="false" customHeight="false" outlineLevel="0" collapsed="false">
      <c r="B21" s="5" t="s">
        <v>17</v>
      </c>
      <c r="C21" s="15" t="s">
        <v>6</v>
      </c>
      <c r="D21" s="12"/>
      <c r="E21" s="16" t="n">
        <f aca="false">SUMIF(calc!A$12:A$34,B21&amp;C21,calc!E$12:E$34)</f>
        <v>100</v>
      </c>
      <c r="F21" s="14"/>
      <c r="G21" s="0" t="str">
        <f aca="false">calc!C17&amp;" : "&amp;calc!D17</f>
        <v>visite simple : 25€/ 12-17 ans 12.50€ / - de 12 ans : gratuit</v>
      </c>
      <c r="I21" s="0" t="n">
        <v>12</v>
      </c>
    </row>
    <row r="22" customFormat="false" ht="12.8" hidden="false" customHeight="false" outlineLevel="0" collapsed="false">
      <c r="B22" s="5" t="s">
        <v>17</v>
      </c>
      <c r="C22" s="15" t="s">
        <v>7</v>
      </c>
      <c r="D22" s="12" t="s">
        <v>36</v>
      </c>
      <c r="E22" s="16" t="n">
        <f aca="false">SUMIF(calc!A$12:A$34,B22&amp;C22,calc!E$12:E$34)</f>
        <v>50</v>
      </c>
      <c r="F22" s="14"/>
      <c r="G22" s="0" t="str">
        <f aca="false">calc!C18&amp;" : "&amp;calc!D18</f>
        <v>visite simple : 15€/ 13-17 ans : 5€ / - de 13 ans : gratuit </v>
      </c>
      <c r="I22" s="0" t="n">
        <v>11</v>
      </c>
    </row>
    <row r="23" customFormat="false" ht="23.65" hidden="false" customHeight="false" outlineLevel="0" collapsed="false">
      <c r="B23" s="5" t="s">
        <v>18</v>
      </c>
      <c r="C23" s="15" t="s">
        <v>8</v>
      </c>
      <c r="D23" s="12"/>
      <c r="E23" s="16" t="n">
        <f aca="false">SUMIF(calc!A$12:A$34,B23&amp;C23,calc!E$12:E$34)</f>
        <v>114</v>
      </c>
      <c r="F23" s="14"/>
      <c r="G23" s="17" t="str">
        <f aca="false">calc!C19&amp;" : "&amp;calc!D19&amp;"
"&amp;calc!C20&amp;" : "&amp;calc!D20</f>
        <v>visite avec horaire spécifique : 24€/ -30 ans : 22€ / - de 12 ans : gratuit
sans contrainte horaire : 27€/ -30 ans : 25€ / - de 12 ans : gratuit</v>
      </c>
      <c r="I23" s="0" t="n">
        <v>10</v>
      </c>
    </row>
    <row r="24" customFormat="false" ht="23.65" hidden="false" customHeight="false" outlineLevel="0" collapsed="false">
      <c r="B24" s="5" t="s">
        <v>19</v>
      </c>
      <c r="C24" s="15" t="s">
        <v>9</v>
      </c>
      <c r="D24" s="12"/>
      <c r="E24" s="16" t="n">
        <f aca="false">SUMIF(calc!A$12:A$34,B24&amp;C24,calc!E$12:E$34)</f>
        <v>84</v>
      </c>
      <c r="F24" s="14"/>
      <c r="G24" s="17" t="str">
        <f aca="false">calc!C21&amp;" : "&amp;calc!D21&amp;"
"&amp;calc!C22&amp;" : "&amp;calc!D22</f>
        <v>visite avec audio : 21€/ 8-24 ans : 14€ / - de 8 ans : gratuit
avec guide : 23€/ 8-24 ans : 16€ / - de 8 ans : gratuit</v>
      </c>
      <c r="I24" s="0" t="n">
        <v>9</v>
      </c>
    </row>
    <row r="25" customFormat="false" ht="34.85" hidden="false" customHeight="false" outlineLevel="0" collapsed="false">
      <c r="B25" s="5" t="s">
        <v>17</v>
      </c>
      <c r="C25" s="15" t="s">
        <v>10</v>
      </c>
      <c r="D25" s="12" t="s">
        <v>37</v>
      </c>
      <c r="E25" s="16" t="n">
        <f aca="false">SUMIF(calc!A$12:A$34,B25&amp;C25,calc!E$12:E$34)</f>
        <v>100</v>
      </c>
      <c r="F25" s="14"/>
      <c r="G25" s="17" t="str">
        <f aca="false">calc!C23&amp;" : "&amp;calc!D23&amp;"
"&amp;calc!C24&amp;" : "&amp;calc!D24&amp;"
"&amp;calc!C25&amp;" : "&amp;calc!D25</f>
        <v>visite simple : 20€ / Billet famille 60€ (2+2) / -10 ans : gratuit
avec audio (uniquement sur son propre téléphone) : 24€ / -10 ans : gratuit
avec guide : 24€ / Billet famille 72€ (2+2) / -10 ans : gratuit</v>
      </c>
      <c r="I25" s="0" t="n">
        <v>8</v>
      </c>
    </row>
    <row r="26" customFormat="false" ht="23.65" hidden="false" customHeight="false" outlineLevel="0" collapsed="false">
      <c r="B26" s="5" t="s">
        <v>17</v>
      </c>
      <c r="C26" s="15" t="s">
        <v>11</v>
      </c>
      <c r="D26" s="12" t="s">
        <v>37</v>
      </c>
      <c r="E26" s="16" t="n">
        <f aca="false">SUMIF(calc!A$12:A$34,B26&amp;C26,calc!E$12:E$34)</f>
        <v>79.2</v>
      </c>
      <c r="F26" s="14"/>
      <c r="G26" s="17" t="str">
        <f aca="false">calc!C26&amp;" : "&amp;calc!D26&amp;"
"&amp;calc!C27&amp;" : "&amp;calc!D27</f>
        <v>visite simple : 18€ / 12-24 ans : 12.60€ / -12 ans gratuit
avec guide : 21€ / 12-24 ans : 14.70€ / -12 ans 5€</v>
      </c>
      <c r="I26" s="0" t="n">
        <v>7</v>
      </c>
    </row>
    <row r="27" customFormat="false" ht="23.65" hidden="false" customHeight="false" outlineLevel="0" collapsed="false">
      <c r="B27" s="5" t="s">
        <v>17</v>
      </c>
      <c r="C27" s="15" t="s">
        <v>12</v>
      </c>
      <c r="D27" s="12" t="s">
        <v>36</v>
      </c>
      <c r="E27" s="16" t="n">
        <f aca="false">SUMIF(calc!A$12:A$34,B27&amp;C27,calc!E$12:E$34)</f>
        <v>36</v>
      </c>
      <c r="F27" s="14"/>
      <c r="G27" s="17" t="str">
        <f aca="false">calc!C28&amp;" : "&amp;calc!D28&amp;"
"&amp;calc!C29&amp;" : "&amp;calc!D29</f>
        <v>visite simple : 12€ / - de 18 ans gratuit
avec audio : 17€ / - de 18 ans 5€</v>
      </c>
      <c r="I27" s="0" t="s">
        <v>38</v>
      </c>
    </row>
    <row r="28" customFormat="false" ht="23.65" hidden="false" customHeight="false" outlineLevel="0" collapsed="false">
      <c r="B28" s="5" t="s">
        <v>17</v>
      </c>
      <c r="C28" s="15" t="s">
        <v>13</v>
      </c>
      <c r="D28" s="12"/>
      <c r="E28" s="16" t="n">
        <f aca="false">SUMIF(calc!A$12:A$34,B28&amp;C28,calc!E$12:E$34)</f>
        <v>56</v>
      </c>
      <c r="F28" s="14"/>
      <c r="G28" s="17" t="str">
        <f aca="false">calc!C30&amp;" : "&amp;calc!D30&amp;"
"&amp;calc!C31&amp;" : "&amp;calc!D31</f>
        <v>visite simple : 17€ / 13-25 ans : 11€ / 0-12 ans : gratuit
avec guide : 24€ / 13-25 ans : 18€ / 0-12 ans : 7€</v>
      </c>
      <c r="I28" s="0" t="s">
        <v>22</v>
      </c>
    </row>
    <row r="29" customFormat="false" ht="12.8" hidden="false" customHeight="false" outlineLevel="0" collapsed="false">
      <c r="B29" s="5" t="s">
        <v>17</v>
      </c>
      <c r="C29" s="15" t="s">
        <v>14</v>
      </c>
      <c r="D29" s="12" t="s">
        <v>36</v>
      </c>
      <c r="E29" s="16" t="n">
        <f aca="false">SUMIF(calc!A$12:A$34,B29&amp;C29,calc!E$12:E$34)</f>
        <v>48</v>
      </c>
      <c r="G29" s="0" t="str">
        <f aca="false">calc!C32&amp;" : "&amp;calc!D32</f>
        <v>visite simple : 12€ /-16 ans : gratuit</v>
      </c>
    </row>
    <row r="30" customFormat="false" ht="23.65" hidden="false" customHeight="false" outlineLevel="0" collapsed="false">
      <c r="B30" s="5" t="s">
        <v>17</v>
      </c>
      <c r="C30" s="15" t="s">
        <v>15</v>
      </c>
      <c r="D30" s="12"/>
      <c r="E30" s="16" t="n">
        <f aca="false">SUMIF(calc!A$12:A$34,B30&amp;C30,calc!E$12:E$34)</f>
        <v>85.5</v>
      </c>
      <c r="G30" s="17" t="str">
        <f aca="false">calc!C33&amp;" : "&amp;calc!D33&amp;"
"&amp;calc!C34&amp;" : "&amp;calc!D34</f>
        <v>visite simple : 18€ / 7-12 ans ; 13.50€ / - 7 ans : gratuit
avec guide : 35€ / 7-12 ans ; 30.50€ / - 7 ans : gratuit</v>
      </c>
    </row>
    <row r="31" customFormat="false" ht="12.8" hidden="false" customHeight="false" outlineLevel="0" collapsed="false">
      <c r="B31" s="11"/>
      <c r="C31" s="12"/>
      <c r="D31" s="12"/>
      <c r="E31" s="7"/>
    </row>
    <row r="32" customFormat="false" ht="12.8" hidden="false" customHeight="false" outlineLevel="0" collapsed="false">
      <c r="B32" s="11"/>
      <c r="C32" s="6" t="s">
        <v>39</v>
      </c>
      <c r="D32" s="6"/>
      <c r="E32" s="16" t="n">
        <f aca="false">SUM(E19:E30)</f>
        <v>986.7</v>
      </c>
    </row>
    <row r="33" customFormat="false" ht="12.8" hidden="false" customHeight="false" outlineLevel="0" collapsed="false">
      <c r="B33" s="2"/>
      <c r="E33" s="3"/>
    </row>
    <row r="34" customFormat="false" ht="12.8" hidden="false" customHeight="true" outlineLevel="0" collapsed="false">
      <c r="B34" s="13" t="s">
        <v>40</v>
      </c>
      <c r="C34" s="13"/>
      <c r="D34" s="13"/>
      <c r="E34" s="13"/>
    </row>
    <row r="35" customFormat="false" ht="12.8" hidden="false" customHeight="true" outlineLevel="0" collapsed="false">
      <c r="B35" s="18" t="s">
        <v>41</v>
      </c>
      <c r="C35" s="18"/>
      <c r="D35" s="18"/>
      <c r="E35" s="18"/>
    </row>
  </sheetData>
  <mergeCells count="10">
    <mergeCell ref="B2:E2"/>
    <mergeCell ref="B4:E4"/>
    <mergeCell ref="B5:E5"/>
    <mergeCell ref="B7:C7"/>
    <mergeCell ref="B8:C13"/>
    <mergeCell ref="B15:E15"/>
    <mergeCell ref="B16:E16"/>
    <mergeCell ref="B17:E17"/>
    <mergeCell ref="B34:E34"/>
    <mergeCell ref="B35:E35"/>
  </mergeCells>
  <dataValidations count="13">
    <dataValidation allowBlank="false" errorStyle="stop" operator="equal" showDropDown="false" showErrorMessage="true" showInputMessage="false" sqref="E8:E13 C14:D14" type="list">
      <formula1>calc!$C$52:$C$77</formula1>
      <formula2>0</formula2>
    </dataValidation>
    <dataValidation allowBlank="false" errorStyle="stop" operator="equal" showDropDown="false" showErrorMessage="true" showInputMessage="false" sqref="B19" type="list">
      <formula1>'input-output'!$J$3:$J$7</formula1>
      <formula2>0</formula2>
    </dataValidation>
    <dataValidation allowBlank="true" errorStyle="stop" operator="equal" showDropDown="false" showErrorMessage="true" showInputMessage="false" sqref="B20" type="list">
      <formula1>'input-output'!$K$3:$K$4</formula1>
      <formula2>0</formula2>
    </dataValidation>
    <dataValidation allowBlank="true" errorStyle="stop" operator="equal" showDropDown="false" showErrorMessage="true" showInputMessage="false" sqref="B21" type="list">
      <formula1>'input-output'!$L$3:$L$8</formula1>
      <formula2>0</formula2>
    </dataValidation>
    <dataValidation allowBlank="true" errorStyle="stop" operator="equal" showDropDown="false" showErrorMessage="true" showInputMessage="false" sqref="B22" type="list">
      <formula1>'input-output'!$M$3:$M$4</formula1>
      <formula2>0</formula2>
    </dataValidation>
    <dataValidation allowBlank="true" errorStyle="stop" operator="equal" showDropDown="false" showErrorMessage="true" showInputMessage="false" sqref="B23" type="list">
      <formula1>'input-output'!$N$3:$N$5</formula1>
      <formula2>0</formula2>
    </dataValidation>
    <dataValidation allowBlank="true" errorStyle="stop" operator="equal" showDropDown="false" showErrorMessage="true" showInputMessage="false" sqref="B24" type="list">
      <formula1>'input-output'!$O$3:$O$5</formula1>
      <formula2>0</formula2>
    </dataValidation>
    <dataValidation allowBlank="true" errorStyle="stop" operator="equal" showDropDown="false" showErrorMessage="true" showInputMessage="false" sqref="B25" type="list">
      <formula1>'input-output'!$P$3:$P$6</formula1>
      <formula2>0</formula2>
    </dataValidation>
    <dataValidation allowBlank="true" errorStyle="stop" operator="equal" showDropDown="false" showErrorMessage="true" showInputMessage="false" sqref="B26" type="list">
      <formula1>'input-output'!$Q$3:$Q$5</formula1>
      <formula2>0</formula2>
    </dataValidation>
    <dataValidation allowBlank="true" errorStyle="stop" operator="equal" showDropDown="false" showErrorMessage="true" showInputMessage="false" sqref="B27" type="list">
      <formula1>'input-output'!$R$3:$R$5</formula1>
      <formula2>0</formula2>
    </dataValidation>
    <dataValidation allowBlank="true" errorStyle="stop" operator="equal" showDropDown="false" showErrorMessage="true" showInputMessage="false" sqref="B28" type="list">
      <formula1>'input-output'!$S$3:$S$5</formula1>
      <formula2>0</formula2>
    </dataValidation>
    <dataValidation allowBlank="true" errorStyle="stop" operator="equal" showDropDown="false" showErrorMessage="true" showInputMessage="false" sqref="B29" type="list">
      <formula1>'input-output'!$T$3:$T$4</formula1>
      <formula2>0</formula2>
    </dataValidation>
    <dataValidation allowBlank="true" errorStyle="stop" operator="equal" showDropDown="false" showErrorMessage="true" showInputMessage="false" sqref="B30" type="list">
      <formula1>'input-output'!$U$3:$U$5</formula1>
      <formula2>0</formula2>
    </dataValidation>
  </dataValidations>
  <hyperlinks>
    <hyperlink ref="C19" r:id="rId1" display="Sagrada Familia"/>
    <hyperlink ref="C20" r:id="rId2" display="Casa Batllo"/>
    <hyperlink ref="C21" r:id="rId3" display="La Pedrera / Casa Mila"/>
    <hyperlink ref="C22" r:id="rId4" display="Palau Güell"/>
    <hyperlink ref="C23" r:id="rId5" display="Casa Vicens"/>
    <hyperlink ref="C24" r:id="rId6" display="Casa Amatler"/>
    <hyperlink ref="C25" r:id="rId7" display="Palau de la musica"/>
    <hyperlink ref="C26" r:id="rId8" display="Hospital Sant Pau"/>
    <hyperlink ref="C27" r:id="rId9" display="Musée Picasso"/>
    <hyperlink ref="C28" r:id="rId10" display="Musée Miro"/>
    <hyperlink ref="C29" r:id="rId11" display="MNAC"/>
    <hyperlink ref="C30" r:id="rId12" display="Parc Güell"/>
    <hyperlink ref="B35" r:id="rId13" display="** Possibilité d’acheter un billet combiné moins cher (uniquement en ligne et uniquement sans guide, voir sur le site pour plus de détails)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9" activeCellId="0" sqref="A1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56.14"/>
    <col collapsed="false" customWidth="true" hidden="false" outlineLevel="0" max="2" min="2" style="0" width="19.14"/>
    <col collapsed="false" customWidth="true" hidden="false" outlineLevel="0" max="3" min="3" style="0" width="24.5"/>
    <col collapsed="false" customWidth="true" hidden="false" outlineLevel="0" max="4" min="4" style="0" width="40.15"/>
    <col collapsed="false" customWidth="true" hidden="false" outlineLevel="0" max="6" min="6" style="0" width="6"/>
    <col collapsed="false" customWidth="true" hidden="false" outlineLevel="0" max="18" min="7" style="0" width="3.45"/>
    <col collapsed="false" customWidth="true" hidden="false" outlineLevel="0" max="24" min="19" style="0" width="4.91"/>
    <col collapsed="false" customWidth="true" hidden="false" outlineLevel="0" max="26" min="25" style="0" width="3.45"/>
    <col collapsed="false" customWidth="true" hidden="false" outlineLevel="0" max="29" min="27" style="0" width="2.48"/>
    <col collapsed="false" customWidth="true" hidden="false" outlineLevel="0" max="30" min="30" style="0" width="4.06"/>
    <col collapsed="false" customWidth="true" hidden="false" outlineLevel="0" max="32" min="31" style="0" width="2.48"/>
  </cols>
  <sheetData>
    <row r="1" customFormat="false" ht="12.8" hidden="false" customHeight="false" outlineLevel="0" collapsed="false">
      <c r="C1" s="0" t="s">
        <v>30</v>
      </c>
      <c r="G1" s="0" t="s">
        <v>16</v>
      </c>
      <c r="H1" s="0" t="n">
        <v>29</v>
      </c>
      <c r="I1" s="0" t="n">
        <v>28</v>
      </c>
      <c r="J1" s="0" t="n">
        <v>27</v>
      </c>
      <c r="K1" s="0" t="n">
        <v>26</v>
      </c>
      <c r="L1" s="0" t="n">
        <v>25</v>
      </c>
      <c r="M1" s="0" t="n">
        <v>24</v>
      </c>
      <c r="N1" s="0" t="n">
        <v>23</v>
      </c>
      <c r="O1" s="0" t="n">
        <v>22</v>
      </c>
      <c r="P1" s="0" t="n">
        <v>21</v>
      </c>
      <c r="Q1" s="0" t="n">
        <v>20</v>
      </c>
      <c r="R1" s="0" t="n">
        <v>19</v>
      </c>
      <c r="S1" s="0" t="n">
        <v>18</v>
      </c>
      <c r="T1" s="0" t="n">
        <v>17</v>
      </c>
      <c r="U1" s="0" t="n">
        <v>16</v>
      </c>
      <c r="V1" s="0" t="n">
        <v>15</v>
      </c>
      <c r="W1" s="0" t="n">
        <v>14</v>
      </c>
      <c r="X1" s="0" t="n">
        <v>13</v>
      </c>
      <c r="Y1" s="0" t="n">
        <v>12</v>
      </c>
      <c r="Z1" s="0" t="n">
        <v>11</v>
      </c>
      <c r="AA1" s="0" t="n">
        <v>10</v>
      </c>
      <c r="AB1" s="0" t="n">
        <v>9</v>
      </c>
      <c r="AC1" s="0" t="n">
        <v>8</v>
      </c>
      <c r="AD1" s="0" t="n">
        <v>7</v>
      </c>
      <c r="AE1" s="0" t="s">
        <v>38</v>
      </c>
      <c r="AF1" s="0" t="s">
        <v>22</v>
      </c>
      <c r="AG1" s="0" t="s">
        <v>42</v>
      </c>
      <c r="AH1" s="0" t="s">
        <v>43</v>
      </c>
      <c r="AI1" s="0" t="s">
        <v>44</v>
      </c>
    </row>
    <row r="2" customFormat="false" ht="12.8" hidden="false" customHeight="false" outlineLevel="0" collapsed="false">
      <c r="B2" s="0" t="n">
        <v>1</v>
      </c>
      <c r="C2" s="0" t="str">
        <f aca="false">'input-output'!E8</f>
        <v>30-99</v>
      </c>
      <c r="G2" s="19" t="n">
        <f aca="false">($C2=G$1)*1</f>
        <v>1</v>
      </c>
      <c r="H2" s="19" t="n">
        <f aca="false">($C2=H$1)*1</f>
        <v>0</v>
      </c>
      <c r="I2" s="19" t="n">
        <f aca="false">($C2=I$1)*1</f>
        <v>0</v>
      </c>
      <c r="J2" s="19" t="n">
        <f aca="false">($C2=J$1)*1</f>
        <v>0</v>
      </c>
      <c r="K2" s="19" t="n">
        <f aca="false">($C2=K$1)*1</f>
        <v>0</v>
      </c>
      <c r="L2" s="19" t="n">
        <f aca="false">($C2=L$1)*1</f>
        <v>0</v>
      </c>
      <c r="M2" s="19" t="n">
        <f aca="false">($C2=M$1)*1</f>
        <v>0</v>
      </c>
      <c r="N2" s="19" t="n">
        <f aca="false">($C2=N$1)*1</f>
        <v>0</v>
      </c>
      <c r="O2" s="19" t="n">
        <f aca="false">($C2=O$1)*1</f>
        <v>0</v>
      </c>
      <c r="P2" s="19" t="n">
        <f aca="false">($C2=P$1)*1</f>
        <v>0</v>
      </c>
      <c r="Q2" s="19" t="n">
        <f aca="false">($C2=Q$1)*1</f>
        <v>0</v>
      </c>
      <c r="R2" s="19" t="n">
        <f aca="false">($C2=R$1)*1</f>
        <v>0</v>
      </c>
      <c r="S2" s="19" t="n">
        <f aca="false">($C2=S$1)*1</f>
        <v>0</v>
      </c>
      <c r="T2" s="19" t="n">
        <f aca="false">($C2=T$1)*1</f>
        <v>0</v>
      </c>
      <c r="U2" s="19" t="n">
        <f aca="false">($C2=U$1)*1</f>
        <v>0</v>
      </c>
      <c r="V2" s="19" t="n">
        <f aca="false">($C2=V$1)*1</f>
        <v>0</v>
      </c>
      <c r="W2" s="19" t="n">
        <f aca="false">($C2=W$1)*1</f>
        <v>0</v>
      </c>
      <c r="X2" s="19" t="n">
        <f aca="false">($C2=X$1)*1</f>
        <v>0</v>
      </c>
      <c r="Y2" s="19" t="n">
        <f aca="false">($C2=Y$1)*1</f>
        <v>0</v>
      </c>
      <c r="Z2" s="19" t="n">
        <f aca="false">($C2=Z$1)*1</f>
        <v>0</v>
      </c>
      <c r="AA2" s="19" t="n">
        <f aca="false">($C2=AA$1)*1</f>
        <v>0</v>
      </c>
      <c r="AB2" s="19" t="n">
        <f aca="false">($C2=AB$1)*1</f>
        <v>0</v>
      </c>
      <c r="AC2" s="19" t="n">
        <f aca="false">($C2=AC$1)*1</f>
        <v>0</v>
      </c>
      <c r="AD2" s="19" t="n">
        <f aca="false">($C2=AD$1)*1</f>
        <v>0</v>
      </c>
      <c r="AE2" s="19" t="n">
        <f aca="false">($C2=AE$1)*1</f>
        <v>0</v>
      </c>
      <c r="AF2" s="19" t="n">
        <f aca="false">($C2=AF$1)*1</f>
        <v>0</v>
      </c>
      <c r="AG2" s="0" t="n">
        <f aca="false">SUM(G2:Q2)</f>
        <v>1</v>
      </c>
      <c r="AH2" s="0" t="n">
        <f aca="false">SUM(U2:AA2)</f>
        <v>0</v>
      </c>
    </row>
    <row r="3" customFormat="false" ht="12.8" hidden="false" customHeight="false" outlineLevel="0" collapsed="false">
      <c r="B3" s="0" t="n">
        <v>2</v>
      </c>
      <c r="C3" s="0" t="str">
        <f aca="false">'input-output'!E9</f>
        <v>30-99</v>
      </c>
      <c r="G3" s="19" t="n">
        <f aca="false">($C3=G$1)*1</f>
        <v>1</v>
      </c>
      <c r="H3" s="19" t="n">
        <f aca="false">($C3=H$1)*1</f>
        <v>0</v>
      </c>
      <c r="I3" s="19" t="n">
        <f aca="false">($C3=I$1)*1</f>
        <v>0</v>
      </c>
      <c r="J3" s="19" t="n">
        <f aca="false">($C3=J$1)*1</f>
        <v>0</v>
      </c>
      <c r="K3" s="19" t="n">
        <f aca="false">($C3=K$1)*1</f>
        <v>0</v>
      </c>
      <c r="L3" s="19" t="n">
        <f aca="false">($C3=L$1)*1</f>
        <v>0</v>
      </c>
      <c r="M3" s="19" t="n">
        <f aca="false">($C3=M$1)*1</f>
        <v>0</v>
      </c>
      <c r="N3" s="19" t="n">
        <f aca="false">($C3=N$1)*1</f>
        <v>0</v>
      </c>
      <c r="O3" s="19" t="n">
        <f aca="false">($C3=O$1)*1</f>
        <v>0</v>
      </c>
      <c r="P3" s="19" t="n">
        <f aca="false">($C3=P$1)*1</f>
        <v>0</v>
      </c>
      <c r="Q3" s="19" t="n">
        <f aca="false">($C3=Q$1)*1</f>
        <v>0</v>
      </c>
      <c r="R3" s="19" t="n">
        <f aca="false">($C3=R$1)*1</f>
        <v>0</v>
      </c>
      <c r="S3" s="19" t="n">
        <f aca="false">($C3=S$1)*1</f>
        <v>0</v>
      </c>
      <c r="T3" s="19" t="n">
        <f aca="false">($C3=T$1)*1</f>
        <v>0</v>
      </c>
      <c r="U3" s="19" t="n">
        <f aca="false">($C3=U$1)*1</f>
        <v>0</v>
      </c>
      <c r="V3" s="19" t="n">
        <f aca="false">($C3=V$1)*1</f>
        <v>0</v>
      </c>
      <c r="W3" s="19" t="n">
        <f aca="false">($C3=W$1)*1</f>
        <v>0</v>
      </c>
      <c r="X3" s="19" t="n">
        <f aca="false">($C3=X$1)*1</f>
        <v>0</v>
      </c>
      <c r="Y3" s="19" t="n">
        <f aca="false">($C3=Y$1)*1</f>
        <v>0</v>
      </c>
      <c r="Z3" s="19" t="n">
        <f aca="false">($C3=Z$1)*1</f>
        <v>0</v>
      </c>
      <c r="AA3" s="19" t="n">
        <f aca="false">($C3=AA$1)*1</f>
        <v>0</v>
      </c>
      <c r="AB3" s="19" t="n">
        <f aca="false">($C3=AB$1)*1</f>
        <v>0</v>
      </c>
      <c r="AC3" s="19" t="n">
        <f aca="false">($C3=AC$1)*1</f>
        <v>0</v>
      </c>
      <c r="AD3" s="19" t="n">
        <f aca="false">($C3=AD$1)*1</f>
        <v>0</v>
      </c>
      <c r="AE3" s="19" t="n">
        <f aca="false">($C3=AE$1)*1</f>
        <v>0</v>
      </c>
      <c r="AF3" s="19" t="n">
        <f aca="false">($C3=AF$1)*1</f>
        <v>0</v>
      </c>
      <c r="AG3" s="0" t="n">
        <f aca="false">SUM(G3:Q3)</f>
        <v>1</v>
      </c>
      <c r="AH3" s="0" t="n">
        <f aca="false">SUM(U3:AA3)</f>
        <v>0</v>
      </c>
    </row>
    <row r="4" customFormat="false" ht="12.8" hidden="false" customHeight="false" outlineLevel="0" collapsed="false">
      <c r="B4" s="0" t="n">
        <v>3</v>
      </c>
      <c r="C4" s="0" t="n">
        <f aca="false">'input-output'!E10</f>
        <v>22</v>
      </c>
      <c r="G4" s="19" t="n">
        <f aca="false">($C4=G$1)*1</f>
        <v>0</v>
      </c>
      <c r="H4" s="19" t="n">
        <f aca="false">($C4=H$1)*1</f>
        <v>0</v>
      </c>
      <c r="I4" s="19" t="n">
        <f aca="false">($C4=I$1)*1</f>
        <v>0</v>
      </c>
      <c r="J4" s="19" t="n">
        <f aca="false">($C4=J$1)*1</f>
        <v>0</v>
      </c>
      <c r="K4" s="19" t="n">
        <f aca="false">($C4=K$1)*1</f>
        <v>0</v>
      </c>
      <c r="L4" s="19" t="n">
        <f aca="false">($C4=L$1)*1</f>
        <v>0</v>
      </c>
      <c r="M4" s="19" t="n">
        <f aca="false">($C4=M$1)*1</f>
        <v>0</v>
      </c>
      <c r="N4" s="19" t="n">
        <f aca="false">($C4=N$1)*1</f>
        <v>0</v>
      </c>
      <c r="O4" s="19" t="n">
        <f aca="false">($C4=O$1)*1</f>
        <v>1</v>
      </c>
      <c r="P4" s="19" t="n">
        <f aca="false">($C4=P$1)*1</f>
        <v>0</v>
      </c>
      <c r="Q4" s="19" t="n">
        <f aca="false">($C4=Q$1)*1</f>
        <v>0</v>
      </c>
      <c r="R4" s="19" t="n">
        <f aca="false">($C4=R$1)*1</f>
        <v>0</v>
      </c>
      <c r="S4" s="19" t="n">
        <f aca="false">($C4=S$1)*1</f>
        <v>0</v>
      </c>
      <c r="T4" s="19" t="n">
        <f aca="false">($C4=T$1)*1</f>
        <v>0</v>
      </c>
      <c r="U4" s="19" t="n">
        <f aca="false">($C4=U$1)*1</f>
        <v>0</v>
      </c>
      <c r="V4" s="19" t="n">
        <f aca="false">($C4=V$1)*1</f>
        <v>0</v>
      </c>
      <c r="W4" s="19" t="n">
        <f aca="false">($C4=W$1)*1</f>
        <v>0</v>
      </c>
      <c r="X4" s="19" t="n">
        <f aca="false">($C4=X$1)*1</f>
        <v>0</v>
      </c>
      <c r="Y4" s="19" t="n">
        <f aca="false">($C4=Y$1)*1</f>
        <v>0</v>
      </c>
      <c r="Z4" s="19" t="n">
        <f aca="false">($C4=Z$1)*1</f>
        <v>0</v>
      </c>
      <c r="AA4" s="19" t="n">
        <f aca="false">($C4=AA$1)*1</f>
        <v>0</v>
      </c>
      <c r="AB4" s="19" t="n">
        <f aca="false">($C4=AB$1)*1</f>
        <v>0</v>
      </c>
      <c r="AC4" s="19" t="n">
        <f aca="false">($C4=AC$1)*1</f>
        <v>0</v>
      </c>
      <c r="AD4" s="19" t="n">
        <f aca="false">($C4=AD$1)*1</f>
        <v>0</v>
      </c>
      <c r="AE4" s="19" t="n">
        <f aca="false">($C4=AE$1)*1</f>
        <v>0</v>
      </c>
      <c r="AF4" s="19" t="n">
        <f aca="false">($C4=AF$1)*1</f>
        <v>0</v>
      </c>
      <c r="AG4" s="0" t="n">
        <f aca="false">SUM(G4:Q4)</f>
        <v>1</v>
      </c>
      <c r="AH4" s="0" t="n">
        <f aca="false">SUM(U4:AA4)</f>
        <v>0</v>
      </c>
    </row>
    <row r="5" customFormat="false" ht="12.8" hidden="false" customHeight="false" outlineLevel="0" collapsed="false">
      <c r="B5" s="0" t="n">
        <v>4</v>
      </c>
      <c r="C5" s="0" t="n">
        <f aca="false">'input-output'!E11</f>
        <v>16</v>
      </c>
      <c r="G5" s="19" t="n">
        <f aca="false">($C5=G$1)*1</f>
        <v>0</v>
      </c>
      <c r="H5" s="19" t="n">
        <f aca="false">($C5=H$1)*1</f>
        <v>0</v>
      </c>
      <c r="I5" s="19" t="n">
        <f aca="false">($C5=I$1)*1</f>
        <v>0</v>
      </c>
      <c r="J5" s="19" t="n">
        <f aca="false">($C5=J$1)*1</f>
        <v>0</v>
      </c>
      <c r="K5" s="19" t="n">
        <f aca="false">($C5=K$1)*1</f>
        <v>0</v>
      </c>
      <c r="L5" s="19" t="n">
        <f aca="false">($C5=L$1)*1</f>
        <v>0</v>
      </c>
      <c r="M5" s="19" t="n">
        <f aca="false">($C5=M$1)*1</f>
        <v>0</v>
      </c>
      <c r="N5" s="19" t="n">
        <f aca="false">($C5=N$1)*1</f>
        <v>0</v>
      </c>
      <c r="O5" s="19" t="n">
        <f aca="false">($C5=O$1)*1</f>
        <v>0</v>
      </c>
      <c r="P5" s="19" t="n">
        <f aca="false">($C5=P$1)*1</f>
        <v>0</v>
      </c>
      <c r="Q5" s="19" t="n">
        <f aca="false">($C5=Q$1)*1</f>
        <v>0</v>
      </c>
      <c r="R5" s="19" t="n">
        <f aca="false">($C5=R$1)*1</f>
        <v>0</v>
      </c>
      <c r="S5" s="19" t="n">
        <f aca="false">($C5=S$1)*1</f>
        <v>0</v>
      </c>
      <c r="T5" s="19" t="n">
        <f aca="false">($C5=T$1)*1</f>
        <v>0</v>
      </c>
      <c r="U5" s="19" t="n">
        <f aca="false">($C5=U$1)*1</f>
        <v>1</v>
      </c>
      <c r="V5" s="19" t="n">
        <f aca="false">($C5=V$1)*1</f>
        <v>0</v>
      </c>
      <c r="W5" s="19" t="n">
        <f aca="false">($C5=W$1)*1</f>
        <v>0</v>
      </c>
      <c r="X5" s="19" t="n">
        <f aca="false">($C5=X$1)*1</f>
        <v>0</v>
      </c>
      <c r="Y5" s="19" t="n">
        <f aca="false">($C5=Y$1)*1</f>
        <v>0</v>
      </c>
      <c r="Z5" s="19" t="n">
        <f aca="false">($C5=Z$1)*1</f>
        <v>0</v>
      </c>
      <c r="AA5" s="19" t="n">
        <f aca="false">($C5=AA$1)*1</f>
        <v>0</v>
      </c>
      <c r="AB5" s="19" t="n">
        <f aca="false">($C5=AB$1)*1</f>
        <v>0</v>
      </c>
      <c r="AC5" s="19" t="n">
        <f aca="false">($C5=AC$1)*1</f>
        <v>0</v>
      </c>
      <c r="AD5" s="19" t="n">
        <f aca="false">($C5=AD$1)*1</f>
        <v>0</v>
      </c>
      <c r="AE5" s="19" t="n">
        <f aca="false">($C5=AE$1)*1</f>
        <v>0</v>
      </c>
      <c r="AF5" s="19" t="n">
        <f aca="false">($C5=AF$1)*1</f>
        <v>0</v>
      </c>
      <c r="AG5" s="0" t="n">
        <f aca="false">SUM(G5:Q5)</f>
        <v>0</v>
      </c>
      <c r="AH5" s="0" t="n">
        <f aca="false">SUM(U5:AA5)</f>
        <v>1</v>
      </c>
    </row>
    <row r="6" customFormat="false" ht="12.8" hidden="false" customHeight="false" outlineLevel="0" collapsed="false">
      <c r="B6" s="0" t="n">
        <v>5</v>
      </c>
      <c r="C6" s="0" t="n">
        <f aca="false">'input-output'!E12</f>
        <v>12</v>
      </c>
      <c r="G6" s="19" t="n">
        <f aca="false">($C6=G$1)*1</f>
        <v>0</v>
      </c>
      <c r="H6" s="19" t="n">
        <f aca="false">($C6=H$1)*1</f>
        <v>0</v>
      </c>
      <c r="I6" s="19" t="n">
        <f aca="false">($C6=I$1)*1</f>
        <v>0</v>
      </c>
      <c r="J6" s="19" t="n">
        <f aca="false">($C6=J$1)*1</f>
        <v>0</v>
      </c>
      <c r="K6" s="19" t="n">
        <f aca="false">($C6=K$1)*1</f>
        <v>0</v>
      </c>
      <c r="L6" s="19" t="n">
        <f aca="false">($C6=L$1)*1</f>
        <v>0</v>
      </c>
      <c r="M6" s="19" t="n">
        <f aca="false">($C6=M$1)*1</f>
        <v>0</v>
      </c>
      <c r="N6" s="19" t="n">
        <f aca="false">($C6=N$1)*1</f>
        <v>0</v>
      </c>
      <c r="O6" s="19" t="n">
        <f aca="false">($C6=O$1)*1</f>
        <v>0</v>
      </c>
      <c r="P6" s="19" t="n">
        <f aca="false">($C6=P$1)*1</f>
        <v>0</v>
      </c>
      <c r="Q6" s="19" t="n">
        <f aca="false">($C6=Q$1)*1</f>
        <v>0</v>
      </c>
      <c r="R6" s="19" t="n">
        <f aca="false">($C6=R$1)*1</f>
        <v>0</v>
      </c>
      <c r="S6" s="19" t="n">
        <f aca="false">($C6=S$1)*1</f>
        <v>0</v>
      </c>
      <c r="T6" s="19" t="n">
        <f aca="false">($C6=T$1)*1</f>
        <v>0</v>
      </c>
      <c r="U6" s="19" t="n">
        <f aca="false">($C6=U$1)*1</f>
        <v>0</v>
      </c>
      <c r="V6" s="19" t="n">
        <f aca="false">($C6=V$1)*1</f>
        <v>0</v>
      </c>
      <c r="W6" s="19" t="n">
        <f aca="false">($C6=W$1)*1</f>
        <v>0</v>
      </c>
      <c r="X6" s="19" t="n">
        <f aca="false">($C6=X$1)*1</f>
        <v>0</v>
      </c>
      <c r="Y6" s="19" t="n">
        <f aca="false">($C6=Y$1)*1</f>
        <v>1</v>
      </c>
      <c r="Z6" s="19" t="n">
        <f aca="false">($C6=Z$1)*1</f>
        <v>0</v>
      </c>
      <c r="AA6" s="19" t="n">
        <f aca="false">($C6=AA$1)*1</f>
        <v>0</v>
      </c>
      <c r="AB6" s="19" t="n">
        <f aca="false">($C6=AB$1)*1</f>
        <v>0</v>
      </c>
      <c r="AC6" s="19" t="n">
        <f aca="false">($C6=AC$1)*1</f>
        <v>0</v>
      </c>
      <c r="AD6" s="19" t="n">
        <f aca="false">($C6=AD$1)*1</f>
        <v>0</v>
      </c>
      <c r="AE6" s="19" t="n">
        <f aca="false">($C6=AE$1)*1</f>
        <v>0</v>
      </c>
      <c r="AF6" s="19" t="n">
        <f aca="false">($C6=AF$1)*1</f>
        <v>0</v>
      </c>
      <c r="AG6" s="0" t="n">
        <f aca="false">SUM(G6:Q6)</f>
        <v>0</v>
      </c>
      <c r="AH6" s="0" t="n">
        <f aca="false">SUM(U6:AA6)</f>
        <v>1</v>
      </c>
    </row>
    <row r="7" customFormat="false" ht="12.8" hidden="false" customHeight="false" outlineLevel="0" collapsed="false">
      <c r="B7" s="0" t="n">
        <v>6</v>
      </c>
      <c r="C7" s="0" t="str">
        <f aca="false">'input-output'!E13</f>
        <v>-</v>
      </c>
      <c r="G7" s="0" t="n">
        <f aca="false">SUM(G2:G6)</f>
        <v>2</v>
      </c>
      <c r="H7" s="0" t="n">
        <f aca="false">SUM(H2:H6)</f>
        <v>0</v>
      </c>
      <c r="I7" s="0" t="n">
        <f aca="false">SUM(I2:I6)</f>
        <v>0</v>
      </c>
      <c r="J7" s="0" t="n">
        <f aca="false">SUM(J2:J6)</f>
        <v>0</v>
      </c>
      <c r="K7" s="0" t="n">
        <f aca="false">SUM(K2:K6)</f>
        <v>0</v>
      </c>
      <c r="L7" s="0" t="n">
        <f aca="false">SUM(L2:L6)</f>
        <v>0</v>
      </c>
      <c r="M7" s="0" t="n">
        <f aca="false">SUM(M2:M6)</f>
        <v>0</v>
      </c>
      <c r="N7" s="0" t="n">
        <f aca="false">SUM(N2:N6)</f>
        <v>0</v>
      </c>
      <c r="O7" s="0" t="n">
        <f aca="false">SUM(O2:O6)</f>
        <v>1</v>
      </c>
      <c r="P7" s="0" t="n">
        <f aca="false">SUM(P2:P6)</f>
        <v>0</v>
      </c>
      <c r="Q7" s="0" t="n">
        <f aca="false">SUM(Q2:Q6)</f>
        <v>0</v>
      </c>
      <c r="R7" s="0" t="n">
        <f aca="false">SUM(R2:R6)</f>
        <v>0</v>
      </c>
      <c r="S7" s="0" t="n">
        <f aca="false">SUM(S2:S6)</f>
        <v>0</v>
      </c>
      <c r="T7" s="0" t="n">
        <f aca="false">SUM(T2:T6)</f>
        <v>0</v>
      </c>
      <c r="U7" s="0" t="n">
        <f aca="false">SUM(U2:U6)</f>
        <v>1</v>
      </c>
      <c r="V7" s="0" t="n">
        <f aca="false">SUM(V2:V6)</f>
        <v>0</v>
      </c>
      <c r="W7" s="0" t="n">
        <f aca="false">SUM(W2:W6)</f>
        <v>0</v>
      </c>
      <c r="X7" s="0" t="n">
        <f aca="false">SUM(X2:X6)</f>
        <v>0</v>
      </c>
      <c r="Y7" s="0" t="n">
        <f aca="false">SUM(Y2:Y6)</f>
        <v>1</v>
      </c>
      <c r="Z7" s="0" t="n">
        <f aca="false">SUM(Z2:Z6)</f>
        <v>0</v>
      </c>
      <c r="AA7" s="0" t="n">
        <f aca="false">SUM(AA2:AA6)</f>
        <v>0</v>
      </c>
      <c r="AB7" s="0" t="n">
        <f aca="false">SUM(AB2:AB6)</f>
        <v>0</v>
      </c>
      <c r="AC7" s="0" t="n">
        <f aca="false">SUM(AC2:AC6)</f>
        <v>0</v>
      </c>
      <c r="AD7" s="0" t="n">
        <f aca="false">SUM(AD2:AD6)</f>
        <v>0</v>
      </c>
      <c r="AE7" s="0" t="n">
        <f aca="false">SUM(AE2:AE6)</f>
        <v>0</v>
      </c>
      <c r="AF7" s="0" t="n">
        <f aca="false">SUM(AF2:AF6)</f>
        <v>0</v>
      </c>
      <c r="AG7" s="0" t="n">
        <f aca="false">SUM(AG2:AG6)</f>
        <v>3</v>
      </c>
      <c r="AH7" s="0" t="n">
        <f aca="false">SUM(AH2:AH6)</f>
        <v>2</v>
      </c>
      <c r="AI7" s="0" t="n">
        <f aca="false">(AG7=2)*(AH7=2)</f>
        <v>0</v>
      </c>
    </row>
    <row r="9" customFormat="false" ht="12.8" hidden="false" customHeight="false" outlineLevel="0" collapsed="false">
      <c r="B9" s="0" t="s">
        <v>45</v>
      </c>
    </row>
    <row r="10" customFormat="false" ht="12.8" hidden="false" customHeight="false" outlineLevel="0" collapsed="false">
      <c r="B10" s="0" t="s">
        <v>46</v>
      </c>
    </row>
    <row r="12" customFormat="false" ht="12.8" hidden="false" customHeight="false" outlineLevel="0" collapsed="false">
      <c r="A12" s="0" t="str">
        <f aca="false">C12&amp;B12</f>
        <v>visite simpleSagrada Familia</v>
      </c>
      <c r="B12" s="0" t="s">
        <v>4</v>
      </c>
      <c r="C12" s="0" t="s">
        <v>17</v>
      </c>
      <c r="D12" s="0" t="s">
        <v>47</v>
      </c>
      <c r="E12" s="14" t="n">
        <f aca="false">SUMPRODUCT($G$7:$AF$7,G12:AF12)</f>
        <v>124</v>
      </c>
      <c r="G12" s="0" t="n">
        <v>26</v>
      </c>
      <c r="H12" s="0" t="n">
        <v>24</v>
      </c>
      <c r="I12" s="0" t="n">
        <v>24</v>
      </c>
      <c r="J12" s="0" t="n">
        <v>24</v>
      </c>
      <c r="K12" s="0" t="n">
        <v>24</v>
      </c>
      <c r="L12" s="0" t="n">
        <v>24</v>
      </c>
      <c r="M12" s="0" t="n">
        <v>24</v>
      </c>
      <c r="N12" s="0" t="n">
        <v>24</v>
      </c>
      <c r="O12" s="0" t="n">
        <v>24</v>
      </c>
      <c r="P12" s="0" t="n">
        <v>24</v>
      </c>
      <c r="Q12" s="0" t="n">
        <v>24</v>
      </c>
      <c r="R12" s="0" t="n">
        <v>24</v>
      </c>
      <c r="S12" s="0" t="n">
        <v>24</v>
      </c>
      <c r="T12" s="0" t="n">
        <v>24</v>
      </c>
      <c r="U12" s="0" t="n">
        <v>24</v>
      </c>
      <c r="V12" s="0" t="n">
        <v>24</v>
      </c>
      <c r="W12" s="0" t="n">
        <v>24</v>
      </c>
      <c r="X12" s="0" t="n">
        <v>24</v>
      </c>
      <c r="Y12" s="0" t="n">
        <v>24</v>
      </c>
      <c r="Z12" s="0" t="n">
        <v>24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</row>
    <row r="13" customFormat="false" ht="12.8" hidden="false" customHeight="false" outlineLevel="0" collapsed="false">
      <c r="A13" s="0" t="str">
        <f aca="false">C13&amp;B13</f>
        <v>avec guideSagrada Familia</v>
      </c>
      <c r="B13" s="0" t="s">
        <v>4</v>
      </c>
      <c r="C13" s="0" t="s">
        <v>21</v>
      </c>
      <c r="D13" s="0" t="s">
        <v>48</v>
      </c>
      <c r="E13" s="14" t="n">
        <f aca="false">SUMPRODUCT($G$7:$AF$7,G13:AF13)</f>
        <v>144</v>
      </c>
      <c r="G13" s="0" t="n">
        <v>30</v>
      </c>
      <c r="H13" s="0" t="n">
        <v>28</v>
      </c>
      <c r="I13" s="0" t="n">
        <v>28</v>
      </c>
      <c r="J13" s="0" t="n">
        <v>28</v>
      </c>
      <c r="K13" s="0" t="n">
        <v>28</v>
      </c>
      <c r="L13" s="0" t="n">
        <v>28</v>
      </c>
      <c r="M13" s="0" t="n">
        <v>28</v>
      </c>
      <c r="N13" s="0" t="n">
        <v>28</v>
      </c>
      <c r="O13" s="0" t="n">
        <v>28</v>
      </c>
      <c r="P13" s="0" t="n">
        <v>28</v>
      </c>
      <c r="Q13" s="0" t="n">
        <v>28</v>
      </c>
      <c r="R13" s="0" t="n">
        <v>28</v>
      </c>
      <c r="S13" s="0" t="n">
        <v>28</v>
      </c>
      <c r="T13" s="0" t="n">
        <v>28</v>
      </c>
      <c r="U13" s="0" t="n">
        <v>28</v>
      </c>
      <c r="V13" s="0" t="n">
        <v>28</v>
      </c>
      <c r="W13" s="0" t="n">
        <v>28</v>
      </c>
      <c r="X13" s="0" t="n">
        <v>28</v>
      </c>
      <c r="Y13" s="0" t="n">
        <v>28</v>
      </c>
      <c r="Z13" s="0" t="n">
        <v>28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</row>
    <row r="14" customFormat="false" ht="12.8" hidden="false" customHeight="false" outlineLevel="0" collapsed="false">
      <c r="A14" s="0" t="str">
        <f aca="false">C14&amp;B14</f>
        <v>avec visite de la tourSagrada Familia</v>
      </c>
      <c r="B14" s="0" t="s">
        <v>4</v>
      </c>
      <c r="C14" s="0" t="s">
        <v>27</v>
      </c>
      <c r="D14" s="0" t="s">
        <v>49</v>
      </c>
      <c r="E14" s="14" t="n">
        <f aca="false">SUMPRODUCT($G$7:$AF$7,G14:AF14)</f>
        <v>174</v>
      </c>
      <c r="G14" s="0" t="n">
        <v>36</v>
      </c>
      <c r="H14" s="0" t="n">
        <v>34</v>
      </c>
      <c r="I14" s="0" t="n">
        <v>34</v>
      </c>
      <c r="J14" s="0" t="n">
        <v>34</v>
      </c>
      <c r="K14" s="0" t="n">
        <v>34</v>
      </c>
      <c r="L14" s="0" t="n">
        <v>34</v>
      </c>
      <c r="M14" s="0" t="n">
        <v>34</v>
      </c>
      <c r="N14" s="0" t="n">
        <v>34</v>
      </c>
      <c r="O14" s="0" t="n">
        <v>34</v>
      </c>
      <c r="P14" s="0" t="n">
        <v>34</v>
      </c>
      <c r="Q14" s="0" t="n">
        <v>34</v>
      </c>
      <c r="R14" s="0" t="n">
        <v>34</v>
      </c>
      <c r="S14" s="0" t="n">
        <v>34</v>
      </c>
      <c r="T14" s="0" t="n">
        <v>34</v>
      </c>
      <c r="U14" s="0" t="n">
        <v>34</v>
      </c>
      <c r="V14" s="0" t="n">
        <v>34</v>
      </c>
      <c r="W14" s="0" t="n">
        <v>34</v>
      </c>
      <c r="X14" s="0" t="n">
        <v>34</v>
      </c>
      <c r="Y14" s="0" t="n">
        <v>34</v>
      </c>
      <c r="Z14" s="0" t="n">
        <v>34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</row>
    <row r="15" customFormat="false" ht="12.8" hidden="false" customHeight="false" outlineLevel="0" collapsed="false">
      <c r="A15" s="0" t="str">
        <f aca="false">C15&amp;B15</f>
        <v>avec guide et visite de la tourSagrada Familia</v>
      </c>
      <c r="B15" s="0" t="s">
        <v>4</v>
      </c>
      <c r="C15" s="0" t="s">
        <v>28</v>
      </c>
      <c r="D15" s="0" t="s">
        <v>49</v>
      </c>
      <c r="E15" s="14" t="n">
        <f aca="false">SUMPRODUCT($G$7:$AF$7,G15:AF15)</f>
        <v>194</v>
      </c>
      <c r="G15" s="0" t="n">
        <v>40</v>
      </c>
      <c r="H15" s="0" t="n">
        <v>38</v>
      </c>
      <c r="I15" s="0" t="n">
        <v>38</v>
      </c>
      <c r="J15" s="0" t="n">
        <v>38</v>
      </c>
      <c r="K15" s="0" t="n">
        <v>38</v>
      </c>
      <c r="L15" s="0" t="n">
        <v>38</v>
      </c>
      <c r="M15" s="0" t="n">
        <v>38</v>
      </c>
      <c r="N15" s="0" t="n">
        <v>38</v>
      </c>
      <c r="O15" s="0" t="n">
        <v>38</v>
      </c>
      <c r="P15" s="0" t="n">
        <v>38</v>
      </c>
      <c r="Q15" s="0" t="n">
        <v>38</v>
      </c>
      <c r="R15" s="0" t="n">
        <v>38</v>
      </c>
      <c r="S15" s="0" t="n">
        <v>38</v>
      </c>
      <c r="T15" s="0" t="n">
        <v>38</v>
      </c>
      <c r="U15" s="0" t="n">
        <v>38</v>
      </c>
      <c r="V15" s="0" t="n">
        <v>38</v>
      </c>
      <c r="W15" s="0" t="n">
        <v>38</v>
      </c>
      <c r="X15" s="0" t="n">
        <v>38</v>
      </c>
      <c r="Y15" s="0" t="n">
        <v>38</v>
      </c>
      <c r="Z15" s="0" t="n">
        <v>38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</row>
    <row r="16" customFormat="false" ht="12.8" hidden="false" customHeight="false" outlineLevel="0" collapsed="false">
      <c r="A16" s="0" t="str">
        <f aca="false">C16&amp;B16</f>
        <v>visite simpleCasa Batllo</v>
      </c>
      <c r="B16" s="0" t="s">
        <v>5</v>
      </c>
      <c r="C16" s="0" t="s">
        <v>17</v>
      </c>
      <c r="D16" s="0" t="s">
        <v>50</v>
      </c>
      <c r="E16" s="14" t="n">
        <f aca="false">SUMPRODUCT($G$7:$AF$7,G16:AF16)</f>
        <v>110</v>
      </c>
      <c r="G16" s="0" t="n">
        <v>29</v>
      </c>
      <c r="H16" s="0" t="n">
        <v>29</v>
      </c>
      <c r="I16" s="0" t="n">
        <v>29</v>
      </c>
      <c r="J16" s="0" t="n">
        <v>29</v>
      </c>
      <c r="K16" s="0" t="n">
        <v>29</v>
      </c>
      <c r="L16" s="0" t="n">
        <v>29</v>
      </c>
      <c r="M16" s="0" t="n">
        <v>29</v>
      </c>
      <c r="N16" s="0" t="n">
        <v>29</v>
      </c>
      <c r="O16" s="0" t="n">
        <v>29</v>
      </c>
      <c r="P16" s="0" t="n">
        <v>29</v>
      </c>
      <c r="Q16" s="0" t="n">
        <v>29</v>
      </c>
      <c r="R16" s="0" t="n">
        <v>29</v>
      </c>
      <c r="S16" s="0" t="n">
        <v>29</v>
      </c>
      <c r="T16" s="0" t="n">
        <v>23</v>
      </c>
      <c r="U16" s="0" t="n">
        <v>23</v>
      </c>
      <c r="V16" s="0" t="n">
        <v>23</v>
      </c>
      <c r="W16" s="0" t="n">
        <v>23</v>
      </c>
      <c r="X16" s="0" t="n">
        <v>23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</row>
    <row r="17" customFormat="false" ht="12.8" hidden="false" customHeight="false" outlineLevel="0" collapsed="false">
      <c r="A17" s="0" t="str">
        <f aca="false">C17&amp;B17</f>
        <v>visite simpleLa Pedrera / Casa Mila</v>
      </c>
      <c r="B17" s="0" t="s">
        <v>6</v>
      </c>
      <c r="C17" s="0" t="s">
        <v>17</v>
      </c>
      <c r="D17" s="0" t="s">
        <v>51</v>
      </c>
      <c r="E17" s="14" t="n">
        <f aca="false">SUMPRODUCT($G$7:$AF$7,G17:AF17)</f>
        <v>100</v>
      </c>
      <c r="G17" s="0" t="n">
        <v>25</v>
      </c>
      <c r="H17" s="0" t="n">
        <v>25</v>
      </c>
      <c r="I17" s="0" t="n">
        <v>25</v>
      </c>
      <c r="J17" s="0" t="n">
        <v>25</v>
      </c>
      <c r="K17" s="0" t="n">
        <v>25</v>
      </c>
      <c r="L17" s="0" t="n">
        <v>25</v>
      </c>
      <c r="M17" s="0" t="n">
        <v>25</v>
      </c>
      <c r="N17" s="0" t="n">
        <v>25</v>
      </c>
      <c r="O17" s="0" t="n">
        <v>25</v>
      </c>
      <c r="P17" s="0" t="n">
        <v>25</v>
      </c>
      <c r="Q17" s="0" t="n">
        <v>25</v>
      </c>
      <c r="R17" s="0" t="n">
        <v>25</v>
      </c>
      <c r="S17" s="0" t="n">
        <v>25</v>
      </c>
      <c r="T17" s="0" t="n">
        <v>12.5</v>
      </c>
      <c r="U17" s="0" t="n">
        <v>12.5</v>
      </c>
      <c r="V17" s="0" t="n">
        <v>12.5</v>
      </c>
      <c r="W17" s="0" t="n">
        <v>12.5</v>
      </c>
      <c r="X17" s="0" t="n">
        <v>12.5</v>
      </c>
      <c r="Y17" s="0" t="n">
        <v>12.5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</row>
    <row r="18" customFormat="false" ht="12.8" hidden="false" customHeight="false" outlineLevel="0" collapsed="false">
      <c r="A18" s="0" t="str">
        <f aca="false">C18&amp;B18</f>
        <v>visite simplePalau Güell</v>
      </c>
      <c r="B18" s="0" t="s">
        <v>7</v>
      </c>
      <c r="C18" s="0" t="s">
        <v>17</v>
      </c>
      <c r="D18" s="0" t="s">
        <v>52</v>
      </c>
      <c r="E18" s="14" t="n">
        <f aca="false">SUMPRODUCT($G$7:$AF$7,G18:AF18)</f>
        <v>50</v>
      </c>
      <c r="G18" s="0" t="n">
        <v>15</v>
      </c>
      <c r="H18" s="0" t="n">
        <v>15</v>
      </c>
      <c r="I18" s="0" t="n">
        <v>15</v>
      </c>
      <c r="J18" s="0" t="n">
        <v>15</v>
      </c>
      <c r="K18" s="0" t="n">
        <v>15</v>
      </c>
      <c r="L18" s="0" t="n">
        <v>15</v>
      </c>
      <c r="M18" s="0" t="n">
        <v>15</v>
      </c>
      <c r="N18" s="0" t="n">
        <v>15</v>
      </c>
      <c r="O18" s="0" t="n">
        <v>15</v>
      </c>
      <c r="P18" s="0" t="n">
        <v>15</v>
      </c>
      <c r="Q18" s="0" t="n">
        <v>15</v>
      </c>
      <c r="R18" s="0" t="n">
        <v>15</v>
      </c>
      <c r="S18" s="0" t="n">
        <v>15</v>
      </c>
      <c r="T18" s="0" t="n">
        <v>5</v>
      </c>
      <c r="U18" s="0" t="n">
        <v>5</v>
      </c>
      <c r="V18" s="0" t="n">
        <v>5</v>
      </c>
      <c r="W18" s="0" t="n">
        <v>5</v>
      </c>
      <c r="X18" s="0" t="n">
        <v>5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</row>
    <row r="19" customFormat="false" ht="12.8" hidden="false" customHeight="false" outlineLevel="0" collapsed="false">
      <c r="A19" s="0" t="str">
        <f aca="false">C19&amp;B19</f>
        <v>visite avec horaire spécifiqueCasa Vicens</v>
      </c>
      <c r="B19" s="0" t="s">
        <v>8</v>
      </c>
      <c r="C19" s="0" t="s">
        <v>18</v>
      </c>
      <c r="D19" s="0" t="s">
        <v>53</v>
      </c>
      <c r="E19" s="14" t="n">
        <f aca="false">SUMPRODUCT($G$7:$AF$7,G19:AF19)</f>
        <v>114</v>
      </c>
      <c r="G19" s="0" t="n">
        <v>24</v>
      </c>
      <c r="H19" s="0" t="n">
        <v>22</v>
      </c>
      <c r="I19" s="0" t="n">
        <v>22</v>
      </c>
      <c r="J19" s="0" t="n">
        <v>22</v>
      </c>
      <c r="K19" s="0" t="n">
        <v>22</v>
      </c>
      <c r="L19" s="0" t="n">
        <v>22</v>
      </c>
      <c r="M19" s="0" t="n">
        <v>22</v>
      </c>
      <c r="N19" s="0" t="n">
        <v>22</v>
      </c>
      <c r="O19" s="0" t="n">
        <v>22</v>
      </c>
      <c r="P19" s="0" t="n">
        <v>22</v>
      </c>
      <c r="Q19" s="0" t="n">
        <v>22</v>
      </c>
      <c r="R19" s="0" t="n">
        <v>22</v>
      </c>
      <c r="S19" s="0" t="n">
        <v>22</v>
      </c>
      <c r="T19" s="0" t="n">
        <v>22</v>
      </c>
      <c r="U19" s="0" t="n">
        <v>22</v>
      </c>
      <c r="V19" s="0" t="n">
        <v>22</v>
      </c>
      <c r="W19" s="0" t="n">
        <v>22</v>
      </c>
      <c r="X19" s="0" t="n">
        <v>22</v>
      </c>
      <c r="Y19" s="0" t="n">
        <v>22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</row>
    <row r="20" customFormat="false" ht="12.8" hidden="false" customHeight="false" outlineLevel="0" collapsed="false">
      <c r="A20" s="0" t="str">
        <f aca="false">C20&amp;B20</f>
        <v>sans contrainte horaireCasa Vicens</v>
      </c>
      <c r="B20" s="0" t="s">
        <v>8</v>
      </c>
      <c r="C20" s="0" t="s">
        <v>23</v>
      </c>
      <c r="D20" s="0" t="s">
        <v>54</v>
      </c>
      <c r="E20" s="14" t="n">
        <f aca="false">SUMPRODUCT($G$7:$AF$7,G20:AF20)</f>
        <v>129</v>
      </c>
      <c r="G20" s="0" t="n">
        <v>27</v>
      </c>
      <c r="H20" s="0" t="n">
        <v>25</v>
      </c>
      <c r="I20" s="0" t="n">
        <v>25</v>
      </c>
      <c r="J20" s="0" t="n">
        <v>25</v>
      </c>
      <c r="K20" s="0" t="n">
        <v>25</v>
      </c>
      <c r="L20" s="0" t="n">
        <v>25</v>
      </c>
      <c r="M20" s="0" t="n">
        <v>25</v>
      </c>
      <c r="N20" s="0" t="n">
        <v>25</v>
      </c>
      <c r="O20" s="0" t="n">
        <v>25</v>
      </c>
      <c r="P20" s="0" t="n">
        <v>25</v>
      </c>
      <c r="Q20" s="0" t="n">
        <v>25</v>
      </c>
      <c r="R20" s="0" t="n">
        <v>25</v>
      </c>
      <c r="S20" s="0" t="n">
        <v>25</v>
      </c>
      <c r="T20" s="0" t="n">
        <v>25</v>
      </c>
      <c r="U20" s="0" t="n">
        <v>25</v>
      </c>
      <c r="V20" s="0" t="n">
        <v>25</v>
      </c>
      <c r="W20" s="0" t="n">
        <v>25</v>
      </c>
      <c r="X20" s="0" t="n">
        <v>25</v>
      </c>
      <c r="Y20" s="0" t="n">
        <v>25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</row>
    <row r="21" customFormat="false" ht="12.8" hidden="false" customHeight="false" outlineLevel="0" collapsed="false">
      <c r="A21" s="0" t="str">
        <f aca="false">C21&amp;B21</f>
        <v>visite avec audioCasa Amatler</v>
      </c>
      <c r="B21" s="0" t="s">
        <v>9</v>
      </c>
      <c r="C21" s="0" t="s">
        <v>19</v>
      </c>
      <c r="D21" s="0" t="s">
        <v>55</v>
      </c>
      <c r="E21" s="14" t="n">
        <f aca="false">SUMPRODUCT($G$7:$AF$7,G21:AF21)</f>
        <v>84</v>
      </c>
      <c r="G21" s="0" t="n">
        <v>21</v>
      </c>
      <c r="H21" s="0" t="n">
        <v>21</v>
      </c>
      <c r="I21" s="0" t="n">
        <v>21</v>
      </c>
      <c r="J21" s="0" t="n">
        <v>21</v>
      </c>
      <c r="K21" s="0" t="n">
        <v>21</v>
      </c>
      <c r="L21" s="0" t="n">
        <v>21</v>
      </c>
      <c r="M21" s="0" t="n">
        <v>14</v>
      </c>
      <c r="N21" s="0" t="n">
        <v>14</v>
      </c>
      <c r="O21" s="0" t="n">
        <v>14</v>
      </c>
      <c r="P21" s="0" t="n">
        <v>14</v>
      </c>
      <c r="Q21" s="0" t="n">
        <v>14</v>
      </c>
      <c r="R21" s="0" t="n">
        <v>14</v>
      </c>
      <c r="S21" s="0" t="n">
        <v>14</v>
      </c>
      <c r="T21" s="0" t="n">
        <v>14</v>
      </c>
      <c r="U21" s="0" t="n">
        <v>14</v>
      </c>
      <c r="V21" s="0" t="n">
        <v>14</v>
      </c>
      <c r="W21" s="0" t="n">
        <v>14</v>
      </c>
      <c r="X21" s="0" t="n">
        <v>14</v>
      </c>
      <c r="Y21" s="0" t="n">
        <v>14</v>
      </c>
      <c r="Z21" s="0" t="n">
        <v>14</v>
      </c>
      <c r="AA21" s="0" t="n">
        <v>14</v>
      </c>
      <c r="AB21" s="0" t="n">
        <v>14</v>
      </c>
      <c r="AC21" s="0" t="n">
        <v>14</v>
      </c>
      <c r="AD21" s="0" t="n">
        <v>0</v>
      </c>
      <c r="AE21" s="0" t="n">
        <v>0</v>
      </c>
      <c r="AF21" s="0" t="n">
        <v>0</v>
      </c>
    </row>
    <row r="22" customFormat="false" ht="12.8" hidden="false" customHeight="false" outlineLevel="0" collapsed="false">
      <c r="A22" s="0" t="str">
        <f aca="false">C22&amp;B22</f>
        <v>avec guideCasa Amatler</v>
      </c>
      <c r="B22" s="0" t="s">
        <v>9</v>
      </c>
      <c r="C22" s="0" t="s">
        <v>21</v>
      </c>
      <c r="D22" s="0" t="s">
        <v>56</v>
      </c>
      <c r="E22" s="14" t="n">
        <f aca="false">SUMPRODUCT($G$7:$AF$7,G22:AF22)</f>
        <v>94</v>
      </c>
      <c r="G22" s="0" t="n">
        <v>23</v>
      </c>
      <c r="H22" s="0" t="n">
        <v>23</v>
      </c>
      <c r="I22" s="0" t="n">
        <v>23</v>
      </c>
      <c r="J22" s="0" t="n">
        <v>23</v>
      </c>
      <c r="K22" s="0" t="n">
        <v>23</v>
      </c>
      <c r="L22" s="0" t="n">
        <v>23</v>
      </c>
      <c r="M22" s="0" t="n">
        <v>16</v>
      </c>
      <c r="N22" s="0" t="n">
        <v>16</v>
      </c>
      <c r="O22" s="0" t="n">
        <v>16</v>
      </c>
      <c r="P22" s="0" t="n">
        <v>16</v>
      </c>
      <c r="Q22" s="0" t="n">
        <v>16</v>
      </c>
      <c r="R22" s="0" t="n">
        <v>16</v>
      </c>
      <c r="S22" s="0" t="n">
        <v>16</v>
      </c>
      <c r="T22" s="0" t="n">
        <v>16</v>
      </c>
      <c r="U22" s="0" t="n">
        <v>16</v>
      </c>
      <c r="V22" s="0" t="n">
        <v>16</v>
      </c>
      <c r="W22" s="0" t="n">
        <v>16</v>
      </c>
      <c r="X22" s="0" t="n">
        <v>16</v>
      </c>
      <c r="Y22" s="0" t="n">
        <v>16</v>
      </c>
      <c r="Z22" s="0" t="n">
        <v>16</v>
      </c>
      <c r="AA22" s="0" t="n">
        <v>16</v>
      </c>
      <c r="AB22" s="0" t="n">
        <v>16</v>
      </c>
      <c r="AC22" s="0" t="n">
        <v>16</v>
      </c>
      <c r="AD22" s="0" t="n">
        <v>0</v>
      </c>
      <c r="AE22" s="0" t="n">
        <v>0</v>
      </c>
    </row>
    <row r="23" customFormat="false" ht="12.8" hidden="false" customHeight="false" outlineLevel="0" collapsed="false">
      <c r="A23" s="0" t="str">
        <f aca="false">C23&amp;B23</f>
        <v>visite simplePalau de la musica</v>
      </c>
      <c r="B23" s="0" t="s">
        <v>10</v>
      </c>
      <c r="C23" s="0" t="s">
        <v>17</v>
      </c>
      <c r="D23" s="0" t="s">
        <v>57</v>
      </c>
      <c r="E23" s="14" t="n">
        <f aca="false">IF(AI$7,AI23,SUMPRODUCT($G$7:$AF$7,G23:AF23))</f>
        <v>100</v>
      </c>
      <c r="G23" s="0" t="n">
        <v>20</v>
      </c>
      <c r="H23" s="0" t="n">
        <v>20</v>
      </c>
      <c r="I23" s="0" t="n">
        <v>20</v>
      </c>
      <c r="J23" s="0" t="n">
        <v>20</v>
      </c>
      <c r="K23" s="0" t="n">
        <v>20</v>
      </c>
      <c r="L23" s="0" t="n">
        <v>20</v>
      </c>
      <c r="M23" s="0" t="n">
        <v>20</v>
      </c>
      <c r="N23" s="0" t="n">
        <v>20</v>
      </c>
      <c r="O23" s="0" t="n">
        <v>20</v>
      </c>
      <c r="P23" s="0" t="n">
        <v>20</v>
      </c>
      <c r="Q23" s="0" t="n">
        <v>20</v>
      </c>
      <c r="R23" s="0" t="n">
        <v>20</v>
      </c>
      <c r="S23" s="0" t="n">
        <v>20</v>
      </c>
      <c r="T23" s="0" t="n">
        <v>20</v>
      </c>
      <c r="U23" s="0" t="n">
        <v>20</v>
      </c>
      <c r="V23" s="0" t="n">
        <v>20</v>
      </c>
      <c r="W23" s="0" t="n">
        <v>20</v>
      </c>
      <c r="X23" s="0" t="n">
        <v>20</v>
      </c>
      <c r="Y23" s="0" t="n">
        <v>20</v>
      </c>
      <c r="Z23" s="0" t="n">
        <v>20</v>
      </c>
      <c r="AA23" s="0" t="n">
        <v>20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I23" s="0" t="n">
        <v>60</v>
      </c>
    </row>
    <row r="24" customFormat="false" ht="12.8" hidden="false" customHeight="false" outlineLevel="0" collapsed="false">
      <c r="A24" s="0" t="str">
        <f aca="false">C24&amp;B24</f>
        <v>avec audio (uniquement sur son propre téléphone)Palau de la musica</v>
      </c>
      <c r="B24" s="0" t="s">
        <v>10</v>
      </c>
      <c r="C24" s="0" t="s">
        <v>24</v>
      </c>
      <c r="D24" s="0" t="s">
        <v>58</v>
      </c>
      <c r="E24" s="14" t="n">
        <f aca="false">SUMPRODUCT($G$7:$AF$7,G24:AF24)</f>
        <v>120</v>
      </c>
      <c r="G24" s="0" t="n">
        <v>24</v>
      </c>
      <c r="H24" s="0" t="n">
        <v>24</v>
      </c>
      <c r="I24" s="0" t="n">
        <v>24</v>
      </c>
      <c r="J24" s="0" t="n">
        <v>24</v>
      </c>
      <c r="K24" s="0" t="n">
        <v>24</v>
      </c>
      <c r="L24" s="0" t="n">
        <v>24</v>
      </c>
      <c r="M24" s="0" t="n">
        <v>24</v>
      </c>
      <c r="N24" s="0" t="n">
        <v>24</v>
      </c>
      <c r="O24" s="0" t="n">
        <v>24</v>
      </c>
      <c r="P24" s="0" t="n">
        <v>24</v>
      </c>
      <c r="Q24" s="0" t="n">
        <v>24</v>
      </c>
      <c r="R24" s="0" t="n">
        <v>24</v>
      </c>
      <c r="S24" s="0" t="n">
        <v>24</v>
      </c>
      <c r="T24" s="0" t="n">
        <v>24</v>
      </c>
      <c r="U24" s="0" t="n">
        <v>24</v>
      </c>
      <c r="V24" s="0" t="n">
        <v>24</v>
      </c>
      <c r="W24" s="0" t="n">
        <v>24</v>
      </c>
      <c r="X24" s="0" t="n">
        <v>24</v>
      </c>
      <c r="Y24" s="0" t="n">
        <v>24</v>
      </c>
      <c r="Z24" s="0" t="n">
        <v>24</v>
      </c>
      <c r="AA24" s="0" t="n">
        <v>24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</row>
    <row r="25" customFormat="false" ht="12.8" hidden="false" customHeight="false" outlineLevel="0" collapsed="false">
      <c r="A25" s="0" t="str">
        <f aca="false">C25&amp;B25</f>
        <v>avec guidePalau de la musica</v>
      </c>
      <c r="B25" s="0" t="s">
        <v>10</v>
      </c>
      <c r="C25" s="0" t="s">
        <v>21</v>
      </c>
      <c r="D25" s="0" t="s">
        <v>59</v>
      </c>
      <c r="E25" s="14" t="n">
        <f aca="false">IF(AI$7,AI25,SUMPRODUCT($G$7:$AF$7,G25:AF25))</f>
        <v>120</v>
      </c>
      <c r="G25" s="0" t="n">
        <v>24</v>
      </c>
      <c r="H25" s="0" t="n">
        <v>24</v>
      </c>
      <c r="I25" s="0" t="n">
        <v>24</v>
      </c>
      <c r="J25" s="0" t="n">
        <v>24</v>
      </c>
      <c r="K25" s="0" t="n">
        <v>24</v>
      </c>
      <c r="L25" s="0" t="n">
        <v>24</v>
      </c>
      <c r="M25" s="0" t="n">
        <v>24</v>
      </c>
      <c r="N25" s="0" t="n">
        <v>24</v>
      </c>
      <c r="O25" s="0" t="n">
        <v>24</v>
      </c>
      <c r="P25" s="0" t="n">
        <v>24</v>
      </c>
      <c r="Q25" s="0" t="n">
        <v>24</v>
      </c>
      <c r="R25" s="0" t="n">
        <v>24</v>
      </c>
      <c r="S25" s="0" t="n">
        <v>24</v>
      </c>
      <c r="T25" s="0" t="n">
        <v>24</v>
      </c>
      <c r="U25" s="0" t="n">
        <v>24</v>
      </c>
      <c r="V25" s="0" t="n">
        <v>24</v>
      </c>
      <c r="W25" s="0" t="n">
        <v>24</v>
      </c>
      <c r="X25" s="0" t="n">
        <v>24</v>
      </c>
      <c r="Y25" s="0" t="n">
        <v>24</v>
      </c>
      <c r="Z25" s="0" t="n">
        <v>24</v>
      </c>
      <c r="AA25" s="0" t="n">
        <v>24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I25" s="0" t="n">
        <v>72</v>
      </c>
    </row>
    <row r="26" customFormat="false" ht="12.8" hidden="false" customHeight="false" outlineLevel="0" collapsed="false">
      <c r="A26" s="0" t="str">
        <f aca="false">C26&amp;B26</f>
        <v>visite simpleHospital Sant Pau</v>
      </c>
      <c r="B26" s="0" t="s">
        <v>11</v>
      </c>
      <c r="C26" s="0" t="s">
        <v>17</v>
      </c>
      <c r="D26" s="0" t="s">
        <v>60</v>
      </c>
      <c r="E26" s="14" t="n">
        <f aca="false">SUMPRODUCT($G$7:$AF$7,G26:AF26)</f>
        <v>79.2</v>
      </c>
      <c r="G26" s="0" t="n">
        <v>18</v>
      </c>
      <c r="H26" s="0" t="n">
        <v>18</v>
      </c>
      <c r="I26" s="0" t="n">
        <v>18</v>
      </c>
      <c r="J26" s="0" t="n">
        <v>18</v>
      </c>
      <c r="K26" s="0" t="n">
        <v>18</v>
      </c>
      <c r="L26" s="0" t="n">
        <v>18</v>
      </c>
      <c r="M26" s="0" t="n">
        <v>18</v>
      </c>
      <c r="N26" s="0" t="n">
        <v>18</v>
      </c>
      <c r="O26" s="0" t="n">
        <v>18</v>
      </c>
      <c r="P26" s="0" t="n">
        <v>18</v>
      </c>
      <c r="Q26" s="0" t="n">
        <v>18</v>
      </c>
      <c r="R26" s="0" t="n">
        <v>18</v>
      </c>
      <c r="S26" s="0" t="n">
        <v>12.6</v>
      </c>
      <c r="T26" s="0" t="n">
        <v>12.6</v>
      </c>
      <c r="U26" s="0" t="n">
        <v>12.6</v>
      </c>
      <c r="V26" s="0" t="n">
        <v>12.6</v>
      </c>
      <c r="W26" s="0" t="n">
        <v>12.6</v>
      </c>
      <c r="X26" s="0" t="n">
        <v>12.6</v>
      </c>
      <c r="Y26" s="0" t="n">
        <v>12.6</v>
      </c>
      <c r="Z26" s="0" t="n">
        <v>5</v>
      </c>
      <c r="AA26" s="0" t="n">
        <v>5</v>
      </c>
      <c r="AB26" s="0" t="n">
        <v>5</v>
      </c>
      <c r="AC26" s="0" t="n">
        <v>5</v>
      </c>
      <c r="AD26" s="0" t="n">
        <v>5</v>
      </c>
      <c r="AE26" s="0" t="n">
        <v>5</v>
      </c>
      <c r="AF26" s="0" t="n">
        <v>5</v>
      </c>
    </row>
    <row r="27" customFormat="false" ht="12.8" hidden="false" customHeight="false" outlineLevel="0" collapsed="false">
      <c r="A27" s="0" t="str">
        <f aca="false">C27&amp;B27</f>
        <v>avec guideHospital Sant Pau</v>
      </c>
      <c r="B27" s="0" t="s">
        <v>11</v>
      </c>
      <c r="C27" s="0" t="s">
        <v>21</v>
      </c>
      <c r="D27" s="0" t="s">
        <v>61</v>
      </c>
      <c r="E27" s="14" t="n">
        <f aca="false">SUMPRODUCT($G$7:$AF$7,G27:AF27)</f>
        <v>92.4</v>
      </c>
      <c r="G27" s="0" t="n">
        <v>21</v>
      </c>
      <c r="H27" s="0" t="n">
        <v>21</v>
      </c>
      <c r="I27" s="0" t="n">
        <v>21</v>
      </c>
      <c r="J27" s="0" t="n">
        <v>21</v>
      </c>
      <c r="K27" s="0" t="n">
        <v>21</v>
      </c>
      <c r="L27" s="0" t="n">
        <v>21</v>
      </c>
      <c r="M27" s="0" t="n">
        <v>21</v>
      </c>
      <c r="N27" s="0" t="n">
        <v>21</v>
      </c>
      <c r="O27" s="0" t="n">
        <v>21</v>
      </c>
      <c r="P27" s="0" t="n">
        <v>21</v>
      </c>
      <c r="Q27" s="0" t="n">
        <v>21</v>
      </c>
      <c r="R27" s="0" t="n">
        <v>21</v>
      </c>
      <c r="S27" s="0" t="n">
        <v>14.7</v>
      </c>
      <c r="T27" s="0" t="n">
        <v>14.7</v>
      </c>
      <c r="U27" s="0" t="n">
        <v>14.7</v>
      </c>
      <c r="V27" s="0" t="n">
        <v>14.7</v>
      </c>
      <c r="W27" s="0" t="n">
        <v>14.7</v>
      </c>
      <c r="X27" s="0" t="n">
        <v>14.7</v>
      </c>
      <c r="Y27" s="0" t="n">
        <v>14.7</v>
      </c>
      <c r="Z27" s="0" t="n">
        <v>5</v>
      </c>
      <c r="AA27" s="0" t="n">
        <v>5</v>
      </c>
      <c r="AB27" s="0" t="n">
        <v>5</v>
      </c>
      <c r="AC27" s="0" t="n">
        <v>5</v>
      </c>
      <c r="AD27" s="0" t="n">
        <v>5</v>
      </c>
      <c r="AE27" s="0" t="n">
        <v>5</v>
      </c>
      <c r="AF27" s="0" t="n">
        <v>5</v>
      </c>
    </row>
    <row r="28" customFormat="false" ht="12.8" hidden="false" customHeight="false" outlineLevel="0" collapsed="false">
      <c r="A28" s="0" t="str">
        <f aca="false">C28&amp;B28</f>
        <v>visite simpleMusée Picasso</v>
      </c>
      <c r="B28" s="0" t="s">
        <v>12</v>
      </c>
      <c r="C28" s="0" t="s">
        <v>17</v>
      </c>
      <c r="D28" s="0" t="s">
        <v>62</v>
      </c>
      <c r="E28" s="14" t="n">
        <f aca="false">SUMPRODUCT($G$7:$AF$7,G28:AF28)</f>
        <v>36</v>
      </c>
      <c r="G28" s="0" t="n">
        <v>12</v>
      </c>
      <c r="H28" s="0" t="n">
        <v>12</v>
      </c>
      <c r="I28" s="0" t="n">
        <v>12</v>
      </c>
      <c r="J28" s="0" t="n">
        <v>12</v>
      </c>
      <c r="K28" s="0" t="n">
        <v>12</v>
      </c>
      <c r="L28" s="0" t="n">
        <v>12</v>
      </c>
      <c r="M28" s="0" t="n">
        <v>12</v>
      </c>
      <c r="N28" s="0" t="n">
        <v>12</v>
      </c>
      <c r="O28" s="0" t="n">
        <v>12</v>
      </c>
      <c r="P28" s="0" t="n">
        <v>12</v>
      </c>
      <c r="Q28" s="0" t="n">
        <v>12</v>
      </c>
      <c r="R28" s="0" t="n">
        <v>12</v>
      </c>
      <c r="S28" s="0" t="n">
        <v>12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</row>
    <row r="29" customFormat="false" ht="12.8" hidden="false" customHeight="false" outlineLevel="0" collapsed="false">
      <c r="A29" s="0" t="str">
        <f aca="false">C29&amp;B29</f>
        <v>avec audioMusée Picasso</v>
      </c>
      <c r="B29" s="0" t="s">
        <v>12</v>
      </c>
      <c r="C29" s="0" t="s">
        <v>25</v>
      </c>
      <c r="D29" s="0" t="s">
        <v>63</v>
      </c>
      <c r="E29" s="14" t="n">
        <f aca="false">SUMPRODUCT($G$7:$AF$7,G29:AF29)</f>
        <v>61</v>
      </c>
      <c r="G29" s="0" t="n">
        <v>17</v>
      </c>
      <c r="H29" s="0" t="n">
        <v>17</v>
      </c>
      <c r="I29" s="0" t="n">
        <v>17</v>
      </c>
      <c r="J29" s="0" t="n">
        <v>17</v>
      </c>
      <c r="K29" s="0" t="n">
        <v>17</v>
      </c>
      <c r="L29" s="0" t="n">
        <v>17</v>
      </c>
      <c r="M29" s="0" t="n">
        <v>17</v>
      </c>
      <c r="N29" s="0" t="n">
        <v>17</v>
      </c>
      <c r="O29" s="0" t="n">
        <v>17</v>
      </c>
      <c r="P29" s="0" t="n">
        <v>17</v>
      </c>
      <c r="Q29" s="0" t="n">
        <v>17</v>
      </c>
      <c r="R29" s="0" t="n">
        <v>17</v>
      </c>
      <c r="S29" s="0" t="n">
        <v>17</v>
      </c>
      <c r="T29" s="0" t="n">
        <v>5</v>
      </c>
      <c r="U29" s="0" t="n">
        <v>5</v>
      </c>
      <c r="V29" s="0" t="n">
        <v>5</v>
      </c>
      <c r="W29" s="0" t="n">
        <v>5</v>
      </c>
      <c r="X29" s="0" t="n">
        <v>5</v>
      </c>
      <c r="Y29" s="0" t="n">
        <v>5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</row>
    <row r="30" customFormat="false" ht="12.8" hidden="false" customHeight="false" outlineLevel="0" collapsed="false">
      <c r="A30" s="0" t="str">
        <f aca="false">C30&amp;B30</f>
        <v>visite simpleMusée Miro</v>
      </c>
      <c r="B30" s="0" t="s">
        <v>13</v>
      </c>
      <c r="C30" s="0" t="s">
        <v>17</v>
      </c>
      <c r="D30" s="0" t="s">
        <v>64</v>
      </c>
      <c r="E30" s="14" t="n">
        <f aca="false">SUMPRODUCT($G$7:$AF$7,G30:AF30)</f>
        <v>56</v>
      </c>
      <c r="G30" s="0" t="n">
        <v>17</v>
      </c>
      <c r="H30" s="0" t="n">
        <v>17</v>
      </c>
      <c r="I30" s="0" t="n">
        <v>17</v>
      </c>
      <c r="J30" s="0" t="n">
        <v>17</v>
      </c>
      <c r="K30" s="0" t="n">
        <v>17</v>
      </c>
      <c r="L30" s="0" t="n">
        <v>11</v>
      </c>
      <c r="M30" s="0" t="n">
        <v>11</v>
      </c>
      <c r="N30" s="0" t="n">
        <v>11</v>
      </c>
      <c r="O30" s="0" t="n">
        <v>11</v>
      </c>
      <c r="P30" s="0" t="n">
        <v>11</v>
      </c>
      <c r="Q30" s="0" t="n">
        <v>11</v>
      </c>
      <c r="R30" s="0" t="n">
        <v>11</v>
      </c>
      <c r="S30" s="0" t="n">
        <v>11</v>
      </c>
      <c r="T30" s="0" t="n">
        <v>11</v>
      </c>
      <c r="U30" s="0" t="n">
        <v>11</v>
      </c>
      <c r="V30" s="0" t="n">
        <v>11</v>
      </c>
      <c r="W30" s="0" t="n">
        <v>11</v>
      </c>
      <c r="X30" s="0" t="n">
        <v>11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</row>
    <row r="31" customFormat="false" ht="12.8" hidden="false" customHeight="false" outlineLevel="0" collapsed="false">
      <c r="A31" s="0" t="str">
        <f aca="false">C31&amp;B31</f>
        <v>avec guideMusée Miro</v>
      </c>
      <c r="B31" s="0" t="s">
        <v>13</v>
      </c>
      <c r="C31" s="0" t="s">
        <v>21</v>
      </c>
      <c r="D31" s="0" t="s">
        <v>65</v>
      </c>
      <c r="E31" s="14" t="n">
        <f aca="false">SUMPRODUCT($G$7:$AF$7,G31:AF31)</f>
        <v>91</v>
      </c>
      <c r="G31" s="0" t="n">
        <v>24</v>
      </c>
      <c r="H31" s="0" t="n">
        <v>24</v>
      </c>
      <c r="I31" s="0" t="n">
        <v>24</v>
      </c>
      <c r="J31" s="0" t="n">
        <v>24</v>
      </c>
      <c r="K31" s="0" t="n">
        <v>24</v>
      </c>
      <c r="L31" s="0" t="n">
        <v>18</v>
      </c>
      <c r="M31" s="0" t="n">
        <v>18</v>
      </c>
      <c r="N31" s="0" t="n">
        <v>18</v>
      </c>
      <c r="O31" s="0" t="n">
        <v>18</v>
      </c>
      <c r="P31" s="0" t="n">
        <v>18</v>
      </c>
      <c r="Q31" s="0" t="n">
        <v>18</v>
      </c>
      <c r="R31" s="0" t="n">
        <v>18</v>
      </c>
      <c r="S31" s="0" t="n">
        <v>18</v>
      </c>
      <c r="T31" s="0" t="n">
        <v>18</v>
      </c>
      <c r="U31" s="0" t="n">
        <v>18</v>
      </c>
      <c r="V31" s="0" t="n">
        <v>18</v>
      </c>
      <c r="W31" s="0" t="n">
        <v>18</v>
      </c>
      <c r="X31" s="0" t="n">
        <v>18</v>
      </c>
      <c r="Y31" s="0" t="n">
        <v>7</v>
      </c>
      <c r="Z31" s="0" t="n">
        <v>7</v>
      </c>
      <c r="AA31" s="0" t="n">
        <v>7</v>
      </c>
      <c r="AB31" s="0" t="n">
        <v>7</v>
      </c>
      <c r="AC31" s="0" t="n">
        <v>7</v>
      </c>
      <c r="AD31" s="0" t="n">
        <v>7</v>
      </c>
      <c r="AE31" s="0" t="n">
        <v>7</v>
      </c>
      <c r="AF31" s="0" t="n">
        <v>7</v>
      </c>
    </row>
    <row r="32" customFormat="false" ht="12.8" hidden="false" customHeight="false" outlineLevel="0" collapsed="false">
      <c r="A32" s="0" t="str">
        <f aca="false">C32&amp;B32</f>
        <v>visite simpleMNAC</v>
      </c>
      <c r="B32" s="0" t="s">
        <v>14</v>
      </c>
      <c r="C32" s="0" t="s">
        <v>17</v>
      </c>
      <c r="D32" s="0" t="s">
        <v>66</v>
      </c>
      <c r="E32" s="14" t="n">
        <f aca="false">SUMPRODUCT($G$7:$AF$7,G32:AF32)</f>
        <v>48</v>
      </c>
      <c r="G32" s="0" t="n">
        <v>12</v>
      </c>
      <c r="H32" s="0" t="n">
        <v>12</v>
      </c>
      <c r="I32" s="0" t="n">
        <v>12</v>
      </c>
      <c r="J32" s="0" t="n">
        <v>12</v>
      </c>
      <c r="K32" s="0" t="n">
        <v>12</v>
      </c>
      <c r="L32" s="0" t="n">
        <v>12</v>
      </c>
      <c r="M32" s="0" t="n">
        <v>12</v>
      </c>
      <c r="N32" s="0" t="n">
        <v>12</v>
      </c>
      <c r="O32" s="0" t="n">
        <v>12</v>
      </c>
      <c r="P32" s="0" t="n">
        <v>12</v>
      </c>
      <c r="Q32" s="0" t="n">
        <v>12</v>
      </c>
      <c r="R32" s="0" t="n">
        <v>12</v>
      </c>
      <c r="S32" s="0" t="n">
        <v>12</v>
      </c>
      <c r="T32" s="0" t="n">
        <v>12</v>
      </c>
      <c r="U32" s="0" t="n">
        <v>12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</row>
    <row r="33" customFormat="false" ht="12.8" hidden="false" customHeight="false" outlineLevel="0" collapsed="false">
      <c r="A33" s="0" t="str">
        <f aca="false">C33&amp;B33</f>
        <v>visite simpleParc Güell</v>
      </c>
      <c r="B33" s="0" t="s">
        <v>15</v>
      </c>
      <c r="C33" s="0" t="s">
        <v>17</v>
      </c>
      <c r="D33" s="0" t="s">
        <v>67</v>
      </c>
      <c r="E33" s="14" t="n">
        <f aca="false">SUMPRODUCT($G$7:$AF$7,G33:AF33)</f>
        <v>85.5</v>
      </c>
      <c r="G33" s="0" t="n">
        <v>18</v>
      </c>
      <c r="H33" s="0" t="n">
        <v>18</v>
      </c>
      <c r="I33" s="0" t="n">
        <v>18</v>
      </c>
      <c r="J33" s="0" t="n">
        <v>18</v>
      </c>
      <c r="K33" s="0" t="n">
        <v>18</v>
      </c>
      <c r="L33" s="0" t="n">
        <v>18</v>
      </c>
      <c r="M33" s="0" t="n">
        <v>18</v>
      </c>
      <c r="N33" s="0" t="n">
        <v>18</v>
      </c>
      <c r="O33" s="0" t="n">
        <v>18</v>
      </c>
      <c r="P33" s="0" t="n">
        <v>18</v>
      </c>
      <c r="Q33" s="0" t="n">
        <v>18</v>
      </c>
      <c r="R33" s="0" t="n">
        <v>18</v>
      </c>
      <c r="S33" s="0" t="n">
        <v>18</v>
      </c>
      <c r="T33" s="0" t="n">
        <v>18</v>
      </c>
      <c r="U33" s="0" t="n">
        <v>18</v>
      </c>
      <c r="V33" s="0" t="n">
        <v>18</v>
      </c>
      <c r="W33" s="0" t="n">
        <v>18</v>
      </c>
      <c r="X33" s="0" t="n">
        <v>18</v>
      </c>
      <c r="Y33" s="0" t="n">
        <v>13.5</v>
      </c>
      <c r="Z33" s="0" t="n">
        <v>13.5</v>
      </c>
      <c r="AA33" s="0" t="n">
        <v>13.5</v>
      </c>
      <c r="AB33" s="0" t="n">
        <v>13.5</v>
      </c>
      <c r="AC33" s="0" t="n">
        <v>13.5</v>
      </c>
      <c r="AD33" s="0" t="n">
        <v>13.5</v>
      </c>
      <c r="AE33" s="0" t="n">
        <v>0</v>
      </c>
      <c r="AF33" s="0" t="n">
        <v>0</v>
      </c>
    </row>
    <row r="34" customFormat="false" ht="12.8" hidden="false" customHeight="false" outlineLevel="0" collapsed="false">
      <c r="A34" s="0" t="str">
        <f aca="false">C34&amp;B34</f>
        <v>avec guideParc Güell</v>
      </c>
      <c r="B34" s="0" t="s">
        <v>15</v>
      </c>
      <c r="C34" s="0" t="s">
        <v>21</v>
      </c>
      <c r="D34" s="0" t="s">
        <v>68</v>
      </c>
      <c r="E34" s="14" t="n">
        <f aca="false">SUMPRODUCT($G$7:$AF$7,G34:AF34)</f>
        <v>170.5</v>
      </c>
      <c r="G34" s="0" t="n">
        <v>35</v>
      </c>
      <c r="H34" s="0" t="n">
        <v>35</v>
      </c>
      <c r="I34" s="0" t="n">
        <v>35</v>
      </c>
      <c r="J34" s="0" t="n">
        <v>35</v>
      </c>
      <c r="K34" s="0" t="n">
        <v>35</v>
      </c>
      <c r="L34" s="0" t="n">
        <v>35</v>
      </c>
      <c r="M34" s="0" t="n">
        <v>35</v>
      </c>
      <c r="N34" s="0" t="n">
        <v>35</v>
      </c>
      <c r="O34" s="0" t="n">
        <v>35</v>
      </c>
      <c r="P34" s="0" t="n">
        <v>35</v>
      </c>
      <c r="Q34" s="0" t="n">
        <v>35</v>
      </c>
      <c r="R34" s="0" t="n">
        <v>35</v>
      </c>
      <c r="S34" s="0" t="n">
        <v>35</v>
      </c>
      <c r="T34" s="0" t="n">
        <v>35</v>
      </c>
      <c r="U34" s="0" t="n">
        <v>35</v>
      </c>
      <c r="V34" s="0" t="n">
        <v>35</v>
      </c>
      <c r="W34" s="0" t="n">
        <v>35</v>
      </c>
      <c r="X34" s="0" t="n">
        <v>35</v>
      </c>
      <c r="Y34" s="0" t="n">
        <v>30.5</v>
      </c>
      <c r="Z34" s="0" t="n">
        <v>30.5</v>
      </c>
      <c r="AA34" s="0" t="n">
        <v>30.5</v>
      </c>
      <c r="AB34" s="0" t="n">
        <v>30.5</v>
      </c>
      <c r="AC34" s="0" t="n">
        <v>30.5</v>
      </c>
      <c r="AD34" s="0" t="n">
        <v>30.5</v>
      </c>
      <c r="AE34" s="0" t="n">
        <v>0</v>
      </c>
      <c r="AF34" s="0" t="n">
        <v>0</v>
      </c>
    </row>
    <row r="36" customFormat="false" ht="12.8" hidden="false" customHeight="false" outlineLevel="0" collapsed="false">
      <c r="C36" s="0" t="s">
        <v>39</v>
      </c>
      <c r="E36" s="14" t="n">
        <f aca="false">SUM(E12:E33)</f>
        <v>2206.1</v>
      </c>
    </row>
  </sheetData>
  <dataValidations count="1">
    <dataValidation allowBlank="false" errorStyle="stop" operator="equal" showDropDown="false" showErrorMessage="true" showInputMessage="false" sqref="C8" type="list">
      <formula1>calc!$C$52:$C$77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LibreOffice/25.2.5.2$MacOSX_AARCH64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2026-04-20T15:44:13Z</dcterms:created>
  <dc:creator/>
  <dc:description/>
  <dc:language>en-GB</dc:language>
  <cp:lastModifiedBy/>
  <dcterms:modified xsi:type="dcterms:W3CDTF">2026-04-21T08:47:27Z</dcterms:modified>
  <cp:revision>4</cp:revision>
  <dc:subject/>
  <dc:title/>
</cp:coreProperties>
</file>